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bras\LUCAS EDUARDO\ARQUIVOS PARA ENCERRAMENTO\"/>
    </mc:Choice>
  </mc:AlternateContent>
  <xr:revisionPtr revIDLastSave="0" documentId="13_ncr:1_{6935721E-CE24-4F88-9D43-AF4807D80EFE}" xr6:coauthVersionLast="47" xr6:coauthVersionMax="47" xr10:uidLastSave="{00000000-0000-0000-0000-000000000000}"/>
  <bookViews>
    <workbookView xWindow="20370" yWindow="-2595" windowWidth="29040" windowHeight="15720" xr2:uid="{AABDAC59-3091-499A-8F71-9AF2329692F2}"/>
  </bookViews>
  <sheets>
    <sheet name="Tab_Serviços" sheetId="1" r:id="rId1"/>
    <sheet name="Tab_Serviços Emergenciais" sheetId="2" r:id="rId2"/>
  </sheets>
  <definedNames>
    <definedName name="_xlnm._FilterDatabase" localSheetId="0" hidden="1">Tab_Serviços!$A$1:$G$300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89" i="1"/>
  <c r="G90" i="1"/>
  <c r="G91" i="1"/>
  <c r="G92" i="1"/>
  <c r="G93" i="1"/>
  <c r="G94" i="1"/>
  <c r="G95" i="1"/>
  <c r="G96" i="1"/>
  <c r="G97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20" i="1"/>
  <c r="G121" i="1"/>
  <c r="G122" i="1"/>
  <c r="G123" i="1"/>
  <c r="G125" i="1"/>
  <c r="G126" i="1"/>
  <c r="G127" i="1"/>
  <c r="G129" i="1"/>
  <c r="G130" i="1"/>
  <c r="G131" i="1"/>
  <c r="G132" i="1"/>
  <c r="G133" i="1"/>
  <c r="G134" i="1"/>
  <c r="G135" i="1"/>
  <c r="G136" i="1"/>
  <c r="G138" i="1"/>
  <c r="G139" i="1"/>
  <c r="G140" i="1"/>
  <c r="G141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8" i="1"/>
  <c r="G279" i="1"/>
  <c r="G280" i="1"/>
  <c r="G281" i="1"/>
  <c r="G283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" i="1"/>
</calcChain>
</file>

<file path=xl/sharedStrings.xml><?xml version="1.0" encoding="utf-8"?>
<sst xmlns="http://schemas.openxmlformats.org/spreadsheetml/2006/main" count="1162" uniqueCount="336">
  <si>
    <r>
      <rPr>
        <b/>
        <sz val="11"/>
        <color rgb="FF001F5F"/>
        <rFont val="Calibri"/>
        <family val="2"/>
      </rPr>
      <t>Item</t>
    </r>
  </si>
  <si>
    <r>
      <rPr>
        <b/>
        <sz val="11"/>
        <color rgb="FF001F5F"/>
        <rFont val="Calibri"/>
        <family val="2"/>
      </rPr>
      <t>Atividade</t>
    </r>
  </si>
  <si>
    <r>
      <rPr>
        <b/>
        <sz val="11"/>
        <color rgb="FF001F5F"/>
        <rFont val="Calibri"/>
        <family val="2"/>
      </rPr>
      <t>Unid.</t>
    </r>
  </si>
  <si>
    <r>
      <rPr>
        <b/>
        <sz val="11"/>
        <color rgb="FF001F5F"/>
        <rFont val="Calibri"/>
        <family val="2"/>
      </rPr>
      <t>Operação</t>
    </r>
  </si>
  <si>
    <r>
      <rPr>
        <b/>
        <sz val="11"/>
        <color rgb="FF001F5F"/>
        <rFont val="Calibri"/>
        <family val="2"/>
      </rPr>
      <t>Qtde de US</t>
    </r>
  </si>
  <si>
    <r>
      <rPr>
        <b/>
        <sz val="11"/>
        <color rgb="FF001F5F"/>
        <rFont val="Calibri"/>
        <family val="2"/>
      </rPr>
      <t>1        Vegetação</t>
    </r>
  </si>
  <si>
    <r>
      <rPr>
        <sz val="11"/>
        <color rgb="FF001F5F"/>
        <rFont val="Calibri"/>
        <family val="2"/>
      </rPr>
      <t>1.1</t>
    </r>
  </si>
  <si>
    <r>
      <rPr>
        <sz val="11"/>
        <color rgb="FF001F5F"/>
        <rFont val="Calibri"/>
        <family val="2"/>
      </rPr>
      <t>Poda árvore urbana ou rural sem remoção</t>
    </r>
  </si>
  <si>
    <r>
      <rPr>
        <sz val="11"/>
        <color rgb="FF001F5F"/>
        <rFont val="Calibri"/>
        <family val="2"/>
      </rPr>
      <t>Unidade</t>
    </r>
  </si>
  <si>
    <r>
      <rPr>
        <sz val="11"/>
        <color rgb="FF001F5F"/>
        <rFont val="Calibri"/>
        <family val="2"/>
      </rPr>
      <t>Instalar</t>
    </r>
  </si>
  <si>
    <r>
      <rPr>
        <sz val="11"/>
        <color rgb="FF001F5F"/>
        <rFont val="Calibri"/>
        <family val="2"/>
      </rPr>
      <t>1.2</t>
    </r>
  </si>
  <si>
    <r>
      <rPr>
        <sz val="11"/>
        <color rgb="FF001F5F"/>
        <rFont val="Calibri"/>
        <family val="2"/>
      </rPr>
      <t>Corte árvore grande urbano ou rural sem remoção</t>
    </r>
  </si>
  <si>
    <r>
      <rPr>
        <sz val="11"/>
        <color rgb="FF001F5F"/>
        <rFont val="Calibri"/>
        <family val="2"/>
      </rPr>
      <t>1.3</t>
    </r>
  </si>
  <si>
    <r>
      <rPr>
        <sz val="11"/>
        <color rgb="FF001F5F"/>
        <rFont val="Calibri"/>
        <family val="2"/>
      </rPr>
      <t>Corte árvore peq./méd. urbano ou rural sem remoção</t>
    </r>
  </si>
  <si>
    <r>
      <rPr>
        <sz val="11"/>
        <color rgb="FF001F5F"/>
        <rFont val="Calibri"/>
        <family val="2"/>
      </rPr>
      <t>1.4</t>
    </r>
  </si>
  <si>
    <r>
      <rPr>
        <sz val="11"/>
        <color rgb="FF001F5F"/>
        <rFont val="Calibri"/>
        <family val="2"/>
      </rPr>
      <t>Desmatamento, aceiro, roçada, corte de bambú e árvores especiais c/ remoção</t>
    </r>
  </si>
  <si>
    <r>
      <rPr>
        <sz val="11"/>
        <color rgb="FF001F5F"/>
        <rFont val="Calibri"/>
        <family val="2"/>
      </rPr>
      <t>M2</t>
    </r>
  </si>
  <si>
    <r>
      <rPr>
        <sz val="11"/>
        <color rgb="FF001F5F"/>
        <rFont val="Calibri"/>
        <family val="2"/>
      </rPr>
      <t>1.5</t>
    </r>
  </si>
  <si>
    <r>
      <rPr>
        <sz val="11"/>
        <color rgb="FF001F5F"/>
        <rFont val="Calibri"/>
        <family val="2"/>
      </rPr>
      <t>Desmatamento, aceiro, roçada, corte de bambú e árvores especiais s/ remoção</t>
    </r>
  </si>
  <si>
    <r>
      <rPr>
        <sz val="11"/>
        <color rgb="FF001F5F"/>
        <rFont val="Calibri"/>
        <family val="2"/>
      </rPr>
      <t>1.6</t>
    </r>
  </si>
  <si>
    <r>
      <rPr>
        <sz val="11"/>
        <color rgb="FF001F5F"/>
        <rFont val="Calibri"/>
        <family val="2"/>
      </rPr>
      <t>Remoção, transporte, despejo de vegetação</t>
    </r>
  </si>
  <si>
    <r>
      <rPr>
        <sz val="11"/>
        <color rgb="FF001F5F"/>
        <rFont val="Calibri"/>
        <family val="2"/>
      </rPr>
      <t>1.7</t>
    </r>
  </si>
  <si>
    <r>
      <rPr>
        <b/>
        <sz val="11"/>
        <color rgb="FF001F5F"/>
        <rFont val="Calibri"/>
        <family val="2"/>
      </rPr>
      <t>2        Aterramento</t>
    </r>
  </si>
  <si>
    <r>
      <rPr>
        <sz val="11"/>
        <color rgb="FF001F5F"/>
        <rFont val="Calibri"/>
        <family val="2"/>
      </rPr>
      <t>2.1</t>
    </r>
  </si>
  <si>
    <r>
      <rPr>
        <sz val="11"/>
        <color rgb="FF001F5F"/>
        <rFont val="Calibri"/>
        <family val="2"/>
      </rPr>
      <t>Aterramento e seccionamento de cerca</t>
    </r>
  </si>
  <si>
    <r>
      <rPr>
        <sz val="11"/>
        <color rgb="FF001F5F"/>
        <rFont val="Calibri"/>
        <family val="2"/>
      </rPr>
      <t>Conjunto</t>
    </r>
  </si>
  <si>
    <r>
      <rPr>
        <sz val="11"/>
        <color rgb="FF001F5F"/>
        <rFont val="Calibri"/>
        <family val="2"/>
      </rPr>
      <t>2.1.1</t>
    </r>
  </si>
  <si>
    <r>
      <rPr>
        <sz val="11"/>
        <color rgb="FF001F5F"/>
        <rFont val="Calibri"/>
        <family val="2"/>
      </rPr>
      <t>Aterramento de cerca ( somente aterrar)</t>
    </r>
  </si>
  <si>
    <r>
      <rPr>
        <sz val="11"/>
        <color rgb="FF001F5F"/>
        <rFont val="Calibri"/>
        <family val="2"/>
      </rPr>
      <t>2.1.2</t>
    </r>
  </si>
  <si>
    <r>
      <rPr>
        <sz val="11"/>
        <color rgb="FF001F5F"/>
        <rFont val="Calibri"/>
        <family val="2"/>
      </rPr>
      <t>Aterramento de cerca ( somente seccionar)</t>
    </r>
  </si>
  <si>
    <r>
      <rPr>
        <sz val="11"/>
        <color rgb="FF001F5F"/>
        <rFont val="Calibri"/>
        <family val="2"/>
      </rPr>
      <t>2.2</t>
    </r>
  </si>
  <si>
    <r>
      <rPr>
        <sz val="11"/>
        <color rgb="FF001F5F"/>
        <rFont val="Calibri"/>
        <family val="2"/>
      </rPr>
      <t>Aterramento de rede /equipamento</t>
    </r>
  </si>
  <si>
    <r>
      <rPr>
        <sz val="11"/>
        <color rgb="FF001F5F"/>
        <rFont val="Calibri"/>
        <family val="2"/>
      </rPr>
      <t>2.3</t>
    </r>
  </si>
  <si>
    <r>
      <rPr>
        <sz val="11"/>
        <color rgb="FF001F5F"/>
        <rFont val="Calibri"/>
        <family val="2"/>
      </rPr>
      <t>Medir linha terra / aterram.</t>
    </r>
  </si>
  <si>
    <r>
      <rPr>
        <b/>
        <sz val="11"/>
        <color rgb="FF001F5F"/>
        <rFont val="Calibri"/>
        <family val="2"/>
      </rPr>
      <t>3        Chave faca / fusível (unipolar) / tripolar</t>
    </r>
  </si>
  <si>
    <r>
      <rPr>
        <sz val="11"/>
        <color rgb="FF001F5F"/>
        <rFont val="Calibri"/>
        <family val="2"/>
      </rPr>
      <t>3.1</t>
    </r>
  </si>
  <si>
    <r>
      <rPr>
        <sz val="11"/>
        <color rgb="FF001F5F"/>
        <rFont val="Calibri"/>
        <family val="2"/>
      </rPr>
      <t>Estrutura para chave faca / fusível / repetidora</t>
    </r>
  </si>
  <si>
    <r>
      <rPr>
        <sz val="11"/>
        <color rgb="FF001F5F"/>
        <rFont val="Calibri"/>
        <family val="2"/>
      </rPr>
      <t>Retirar</t>
    </r>
  </si>
  <si>
    <r>
      <rPr>
        <sz val="11"/>
        <color rgb="FF001F5F"/>
        <rFont val="Calibri"/>
        <family val="2"/>
      </rPr>
      <t>Substituir</t>
    </r>
  </si>
  <si>
    <r>
      <rPr>
        <sz val="11"/>
        <color rgb="FF001F5F"/>
        <rFont val="Calibri"/>
        <family val="2"/>
      </rPr>
      <t>Reinstalar</t>
    </r>
  </si>
  <si>
    <r>
      <rPr>
        <sz val="11"/>
        <color rgb="FF001F5F"/>
        <rFont val="Calibri"/>
        <family val="2"/>
      </rPr>
      <t>3.3</t>
    </r>
  </si>
  <si>
    <r>
      <rPr>
        <sz val="11"/>
        <color rgb="FF001F5F"/>
        <rFont val="Calibri"/>
        <family val="2"/>
      </rPr>
      <t>Estrutura para chave tripolar</t>
    </r>
  </si>
  <si>
    <r>
      <rPr>
        <sz val="11"/>
        <color rgb="FF001F5F"/>
        <rFont val="Calibri"/>
        <family val="2"/>
      </rPr>
      <t>3.4</t>
    </r>
  </si>
  <si>
    <r>
      <rPr>
        <sz val="11"/>
        <color rgb="FF001F5F"/>
        <rFont val="Calibri"/>
        <family val="2"/>
      </rPr>
      <t>Estrutura para equipamento automatizado</t>
    </r>
  </si>
  <si>
    <r>
      <rPr>
        <sz val="11"/>
        <color rgb="FF001F5F"/>
        <rFont val="Calibri"/>
        <family val="2"/>
      </rPr>
      <t>3.5</t>
    </r>
  </si>
  <si>
    <r>
      <rPr>
        <sz val="11"/>
        <color rgb="FF001F5F"/>
        <rFont val="Calibri"/>
        <family val="2"/>
      </rPr>
      <t>Chave By - Pass</t>
    </r>
  </si>
  <si>
    <r>
      <rPr>
        <sz val="11"/>
        <color rgb="FF001F5F"/>
        <rFont val="Calibri"/>
        <family val="2"/>
      </rPr>
      <t>3.6</t>
    </r>
  </si>
  <si>
    <r>
      <rPr>
        <sz val="11"/>
        <color rgb="FF001F5F"/>
        <rFont val="Calibri"/>
        <family val="2"/>
      </rPr>
      <t>Chave faca / fusível / repetidora</t>
    </r>
  </si>
  <si>
    <r>
      <rPr>
        <sz val="11"/>
        <color rgb="FF001F5F"/>
        <rFont val="Calibri"/>
        <family val="2"/>
      </rPr>
      <t>3.7</t>
    </r>
  </si>
  <si>
    <r>
      <rPr>
        <sz val="11"/>
        <color rgb="FF001F5F"/>
        <rFont val="Calibri"/>
        <family val="2"/>
      </rPr>
      <t>Estrutura Monofásica para chave faca / fusível / Repetidora</t>
    </r>
  </si>
  <si>
    <r>
      <rPr>
        <b/>
        <sz val="11"/>
        <color rgb="FF001F5F"/>
        <rFont val="Calibri"/>
        <family val="2"/>
      </rPr>
      <t>4        Condutor comum</t>
    </r>
  </si>
  <si>
    <r>
      <rPr>
        <sz val="11"/>
        <color rgb="FF001F5F"/>
        <rFont val="Calibri"/>
        <family val="2"/>
      </rPr>
      <t>4.1</t>
    </r>
  </si>
  <si>
    <r>
      <rPr>
        <sz val="11"/>
        <color rgb="FF001F5F"/>
        <rFont val="Calibri"/>
        <family val="2"/>
      </rPr>
      <t>Condutor comum</t>
    </r>
  </si>
  <si>
    <r>
      <rPr>
        <sz val="11"/>
        <color rgb="FF001F5F"/>
        <rFont val="Calibri"/>
        <family val="2"/>
      </rPr>
      <t>Metro</t>
    </r>
  </si>
  <si>
    <r>
      <rPr>
        <sz val="11"/>
        <color rgb="FF001F5F"/>
        <rFont val="Calibri"/>
        <family val="2"/>
      </rPr>
      <t>4.2</t>
    </r>
  </si>
  <si>
    <r>
      <rPr>
        <sz val="11"/>
        <color rgb="FF001F5F"/>
        <rFont val="Calibri"/>
        <family val="2"/>
      </rPr>
      <t>Tracionar / encabeçar</t>
    </r>
  </si>
  <si>
    <r>
      <rPr>
        <sz val="11"/>
        <color rgb="FF001F5F"/>
        <rFont val="Calibri"/>
        <family val="2"/>
      </rPr>
      <t>4.3</t>
    </r>
  </si>
  <si>
    <r>
      <rPr>
        <sz val="11"/>
        <color rgb="FF001F5F"/>
        <rFont val="Calibri"/>
        <family val="2"/>
      </rPr>
      <t>Tracionar / encabeçar (Manutenção)</t>
    </r>
  </si>
  <si>
    <r>
      <rPr>
        <sz val="11"/>
        <color rgb="FF001F5F"/>
        <rFont val="Calibri"/>
        <family val="2"/>
      </rPr>
      <t>4.4</t>
    </r>
  </si>
  <si>
    <r>
      <rPr>
        <sz val="11"/>
        <color rgb="FF001F5F"/>
        <rFont val="Calibri"/>
        <family val="2"/>
      </rPr>
      <t>Conexão</t>
    </r>
  </si>
  <si>
    <r>
      <rPr>
        <sz val="11"/>
        <color rgb="FF001F5F"/>
        <rFont val="Calibri"/>
        <family val="2"/>
      </rPr>
      <t>4.5</t>
    </r>
  </si>
  <si>
    <r>
      <rPr>
        <sz val="11"/>
        <color rgb="FF001F5F"/>
        <rFont val="Calibri"/>
        <family val="2"/>
      </rPr>
      <t>Jumper (abrir ou fechar)</t>
    </r>
  </si>
  <si>
    <r>
      <rPr>
        <sz val="11"/>
        <color rgb="FF001F5F"/>
        <rFont val="Calibri"/>
        <family val="2"/>
      </rPr>
      <t>4.6</t>
    </r>
  </si>
  <si>
    <r>
      <rPr>
        <sz val="11"/>
        <color rgb="FF001F5F"/>
        <rFont val="Calibri"/>
        <family val="2"/>
      </rPr>
      <t>Emenda condutor comum</t>
    </r>
  </si>
  <si>
    <r>
      <rPr>
        <sz val="11"/>
        <color rgb="FF001F5F"/>
        <rFont val="Calibri"/>
        <family val="2"/>
      </rPr>
      <t>4.7</t>
    </r>
  </si>
  <si>
    <r>
      <rPr>
        <sz val="11"/>
        <color rgb="FF001F5F"/>
        <rFont val="Calibri"/>
        <family val="2"/>
      </rPr>
      <t>Amarração</t>
    </r>
  </si>
  <si>
    <r>
      <rPr>
        <sz val="11"/>
        <color rgb="FF001F5F"/>
        <rFont val="Calibri"/>
        <family val="2"/>
      </rPr>
      <t>4.8</t>
    </r>
  </si>
  <si>
    <r>
      <rPr>
        <sz val="11"/>
        <color rgb="FF001F5F"/>
        <rFont val="Calibri"/>
        <family val="2"/>
      </rPr>
      <t>Flying Tap</t>
    </r>
  </si>
  <si>
    <r>
      <rPr>
        <sz val="11"/>
        <color rgb="FF001F5F"/>
        <rFont val="Calibri"/>
        <family val="2"/>
      </rPr>
      <t>4.9</t>
    </r>
  </si>
  <si>
    <r>
      <rPr>
        <sz val="11"/>
        <color rgb="FF001F5F"/>
        <rFont val="Calibri"/>
        <family val="2"/>
      </rPr>
      <t>Ligação do transformador a rede comum</t>
    </r>
  </si>
  <si>
    <r>
      <rPr>
        <sz val="11"/>
        <color rgb="FF001F5F"/>
        <rFont val="Calibri"/>
        <family val="2"/>
      </rPr>
      <t>4.10</t>
    </r>
  </si>
  <si>
    <r>
      <rPr>
        <sz val="11"/>
        <color rgb="FF001F5F"/>
        <rFont val="Calibri"/>
        <family val="2"/>
      </rPr>
      <t>Espaçador rede / afastador tirante / Esfera sinalização</t>
    </r>
  </si>
  <si>
    <r>
      <rPr>
        <sz val="11"/>
        <color rgb="FF001F5F"/>
        <rFont val="Calibri"/>
        <family val="2"/>
      </rPr>
      <t>4.11</t>
    </r>
  </si>
  <si>
    <r>
      <rPr>
        <sz val="11"/>
        <color rgb="FF001F5F"/>
        <rFont val="Calibri"/>
        <family val="2"/>
      </rPr>
      <t>Objeto na rede</t>
    </r>
  </si>
  <si>
    <r>
      <rPr>
        <sz val="11"/>
        <color rgb="FF001F5F"/>
        <rFont val="Calibri"/>
        <family val="2"/>
      </rPr>
      <t>4.12</t>
    </r>
  </si>
  <si>
    <r>
      <rPr>
        <sz val="11"/>
        <color rgb="FF001F5F"/>
        <rFont val="Calibri"/>
        <family val="2"/>
      </rPr>
      <t>Esfera de sinalização com seccionamento rede</t>
    </r>
  </si>
  <si>
    <t>Mestre de Serviços</t>
  </si>
  <si>
    <r>
      <rPr>
        <b/>
        <sz val="11"/>
        <color rgb="FF001F5F"/>
        <rFont val="Calibri"/>
        <family val="2"/>
      </rPr>
      <t>5        Equipamento</t>
    </r>
  </si>
  <si>
    <r>
      <rPr>
        <sz val="11"/>
        <color rgb="FF001F5F"/>
        <rFont val="Calibri"/>
        <family val="2"/>
      </rPr>
      <t>5.1</t>
    </r>
  </si>
  <si>
    <r>
      <rPr>
        <sz val="11"/>
        <color rgb="FF001F5F"/>
        <rFont val="Calibri"/>
        <family val="2"/>
      </rPr>
      <t>Estrutura para regulador de tensão (com equipamento)</t>
    </r>
  </si>
  <si>
    <r>
      <rPr>
        <sz val="11"/>
        <color rgb="FF001F5F"/>
        <rFont val="Calibri"/>
        <family val="2"/>
      </rPr>
      <t>5.4</t>
    </r>
  </si>
  <si>
    <r>
      <rPr>
        <sz val="11"/>
        <color rgb="FF001F5F"/>
        <rFont val="Calibri"/>
        <family val="2"/>
      </rPr>
      <t>Estrutura para banco capacitores</t>
    </r>
  </si>
  <si>
    <r>
      <rPr>
        <sz val="11"/>
        <color rgb="FF001F5F"/>
        <rFont val="Calibri"/>
        <family val="2"/>
      </rPr>
      <t>5.5</t>
    </r>
  </si>
  <si>
    <r>
      <rPr>
        <sz val="11"/>
        <color rgb="FF001F5F"/>
        <rFont val="Calibri"/>
        <family val="2"/>
      </rPr>
      <t>Equipamentos (substituir)</t>
    </r>
  </si>
  <si>
    <r>
      <rPr>
        <sz val="11"/>
        <color rgb="FF001F5F"/>
        <rFont val="Calibri"/>
        <family val="2"/>
      </rPr>
      <t>5.6</t>
    </r>
  </si>
  <si>
    <r>
      <rPr>
        <sz val="11"/>
        <color rgb="FF001F5F"/>
        <rFont val="Calibri"/>
        <family val="2"/>
      </rPr>
      <t>Conjunto de medição externa</t>
    </r>
  </si>
  <si>
    <r>
      <rPr>
        <sz val="11"/>
        <color rgb="FF001F5F"/>
        <rFont val="Calibri"/>
        <family val="2"/>
      </rPr>
      <t>5.7</t>
    </r>
  </si>
  <si>
    <r>
      <rPr>
        <sz val="11"/>
        <color rgb="FF001F5F"/>
        <rFont val="Calibri"/>
        <family val="2"/>
      </rPr>
      <t>Componentes equip. especiais</t>
    </r>
  </si>
  <si>
    <r>
      <rPr>
        <sz val="11"/>
        <color rgb="FF001F5F"/>
        <rFont val="Calibri"/>
        <family val="2"/>
      </rPr>
      <t>5.8</t>
    </r>
  </si>
  <si>
    <r>
      <rPr>
        <sz val="11"/>
        <color rgb="FF001F5F"/>
        <rFont val="Calibri"/>
        <family val="2"/>
      </rPr>
      <t>Mostrador Externo (acessórios)</t>
    </r>
  </si>
  <si>
    <r>
      <rPr>
        <b/>
        <sz val="11"/>
        <color rgb="FF001F5F"/>
        <rFont val="Calibri"/>
        <family val="2"/>
      </rPr>
      <t>7        Estação Transformadora</t>
    </r>
  </si>
  <si>
    <r>
      <rPr>
        <sz val="11"/>
        <color rgb="FF001F5F"/>
        <rFont val="Calibri"/>
        <family val="2"/>
      </rPr>
      <t>7.1</t>
    </r>
  </si>
  <si>
    <r>
      <rPr>
        <sz val="11"/>
        <color rgb="FF001F5F"/>
        <rFont val="Calibri"/>
        <family val="2"/>
      </rPr>
      <t>Estrutura de estação transformadora</t>
    </r>
  </si>
  <si>
    <r>
      <rPr>
        <sz val="11"/>
        <color rgb="FF001F5F"/>
        <rFont val="Calibri"/>
        <family val="2"/>
      </rPr>
      <t>7.2</t>
    </r>
  </si>
  <si>
    <r>
      <rPr>
        <sz val="11"/>
        <color rgb="FF001F5F"/>
        <rFont val="Calibri"/>
        <family val="2"/>
      </rPr>
      <t>Padronizar fixação do transformador</t>
    </r>
  </si>
  <si>
    <r>
      <rPr>
        <sz val="11"/>
        <color rgb="FF001F5F"/>
        <rFont val="Calibri"/>
        <family val="2"/>
      </rPr>
      <t>7.3</t>
    </r>
  </si>
  <si>
    <r>
      <rPr>
        <sz val="11"/>
        <color rgb="FF001F5F"/>
        <rFont val="Calibri"/>
        <family val="2"/>
      </rPr>
      <t>Transformador (equipamento)</t>
    </r>
  </si>
  <si>
    <r>
      <rPr>
        <sz val="11"/>
        <color rgb="FF001F5F"/>
        <rFont val="Calibri"/>
        <family val="2"/>
      </rPr>
      <t>7.4</t>
    </r>
  </si>
  <si>
    <r>
      <rPr>
        <sz val="11"/>
        <color rgb="FF001F5F"/>
        <rFont val="Calibri"/>
        <family val="2"/>
      </rPr>
      <t>Alterar TAP de transformador</t>
    </r>
  </si>
  <si>
    <r>
      <rPr>
        <b/>
        <sz val="11"/>
        <color rgb="FF001F5F"/>
        <rFont val="Calibri"/>
        <family val="2"/>
      </rPr>
      <t>8        Estrutura</t>
    </r>
  </si>
  <si>
    <r>
      <rPr>
        <sz val="11"/>
        <color rgb="FF001F5F"/>
        <rFont val="Calibri"/>
        <family val="2"/>
      </rPr>
      <t>8.1</t>
    </r>
  </si>
  <si>
    <r>
      <rPr>
        <sz val="11"/>
        <color rgb="FF001F5F"/>
        <rFont val="Calibri"/>
        <family val="2"/>
      </rPr>
      <t>Estrutura primária (condutor comum)</t>
    </r>
  </si>
  <si>
    <r>
      <rPr>
        <sz val="11"/>
        <color rgb="FF001F5F"/>
        <rFont val="Calibri"/>
        <family val="2"/>
      </rPr>
      <t>8.2</t>
    </r>
  </si>
  <si>
    <r>
      <rPr>
        <sz val="11"/>
        <color rgb="FF001F5F"/>
        <rFont val="Calibri"/>
        <family val="2"/>
      </rPr>
      <t>Estrutura primária (condutor multiplexado)</t>
    </r>
  </si>
  <si>
    <r>
      <rPr>
        <sz val="11"/>
        <color rgb="FF001F5F"/>
        <rFont val="Calibri"/>
        <family val="2"/>
      </rPr>
      <t>8.3</t>
    </r>
  </si>
  <si>
    <r>
      <rPr>
        <sz val="11"/>
        <color rgb="FF001F5F"/>
        <rFont val="Calibri"/>
        <family val="2"/>
      </rPr>
      <t>Estrutura secundária (condutor comum)</t>
    </r>
  </si>
  <si>
    <r>
      <rPr>
        <sz val="11"/>
        <color rgb="FF001F5F"/>
        <rFont val="Calibri"/>
        <family val="2"/>
      </rPr>
      <t>8.4</t>
    </r>
  </si>
  <si>
    <r>
      <rPr>
        <sz val="11"/>
        <color rgb="FF001F5F"/>
        <rFont val="Calibri"/>
        <family val="2"/>
      </rPr>
      <t>Estrutura secundária (condutor multiplexado)</t>
    </r>
  </si>
  <si>
    <r>
      <rPr>
        <sz val="11"/>
        <color rgb="FF001F5F"/>
        <rFont val="Calibri"/>
        <family val="2"/>
      </rPr>
      <t>8.5</t>
    </r>
  </si>
  <si>
    <r>
      <rPr>
        <sz val="11"/>
        <color rgb="FF001F5F"/>
        <rFont val="Calibri"/>
        <family val="2"/>
      </rPr>
      <t>Estrutura primária para circuito monofásico (condutor comum)</t>
    </r>
  </si>
  <si>
    <r>
      <rPr>
        <b/>
        <sz val="11"/>
        <color rgb="FF001F5F"/>
        <rFont val="Calibri"/>
        <family val="2"/>
      </rPr>
      <t>9        Iluminação Pública</t>
    </r>
  </si>
  <si>
    <r>
      <rPr>
        <sz val="11"/>
        <color rgb="FF001F5F"/>
        <rFont val="Calibri"/>
        <family val="2"/>
      </rPr>
      <t>9.1</t>
    </r>
  </si>
  <si>
    <r>
      <rPr>
        <sz val="11"/>
        <color rgb="FF001F5F"/>
        <rFont val="Calibri"/>
        <family val="2"/>
      </rPr>
      <t>Conjunto de iluminação pública completo</t>
    </r>
  </si>
  <si>
    <r>
      <rPr>
        <b/>
        <sz val="11"/>
        <color rgb="FF001F5F"/>
        <rFont val="Calibri"/>
        <family val="2"/>
      </rPr>
      <t>10       Isolador</t>
    </r>
  </si>
  <si>
    <r>
      <rPr>
        <sz val="11"/>
        <color rgb="FF001F5F"/>
        <rFont val="Calibri"/>
        <family val="2"/>
      </rPr>
      <t>10.1</t>
    </r>
  </si>
  <si>
    <r>
      <rPr>
        <sz val="11"/>
        <color rgb="FF001F5F"/>
        <rFont val="Calibri"/>
        <family val="2"/>
      </rPr>
      <t>Isolador</t>
    </r>
  </si>
  <si>
    <r>
      <rPr>
        <b/>
        <sz val="11"/>
        <color rgb="FF001F5F"/>
        <rFont val="Calibri"/>
        <family val="2"/>
      </rPr>
      <t>11       Ligação</t>
    </r>
  </si>
  <si>
    <r>
      <rPr>
        <sz val="11"/>
        <color rgb="FF001F5F"/>
        <rFont val="Calibri"/>
        <family val="2"/>
      </rPr>
      <t>11.1</t>
    </r>
  </si>
  <si>
    <r>
      <rPr>
        <sz val="11"/>
        <color rgb="FF001F5F"/>
        <rFont val="Calibri"/>
        <family val="2"/>
      </rPr>
      <t>Ramal de ligação</t>
    </r>
  </si>
  <si>
    <r>
      <rPr>
        <sz val="11"/>
        <color rgb="FF001F5F"/>
        <rFont val="Calibri"/>
        <family val="2"/>
      </rPr>
      <t>11.4</t>
    </r>
  </si>
  <si>
    <r>
      <rPr>
        <sz val="11"/>
        <color rgb="FF001F5F"/>
        <rFont val="Calibri"/>
        <family val="2"/>
      </rPr>
      <t>Padrão universalizado</t>
    </r>
  </si>
  <si>
    <r>
      <rPr>
        <sz val="11"/>
        <color rgb="FF001F5F"/>
        <rFont val="Calibri"/>
        <family val="2"/>
      </rPr>
      <t>11.5</t>
    </r>
  </si>
  <si>
    <r>
      <rPr>
        <sz val="11"/>
        <color rgb="FF001F5F"/>
        <rFont val="Calibri"/>
        <family val="2"/>
      </rPr>
      <t>Kit interno do padrão universalizado</t>
    </r>
  </si>
  <si>
    <r>
      <rPr>
        <sz val="11"/>
        <color rgb="FF001F5F"/>
        <rFont val="Calibri"/>
        <family val="2"/>
      </rPr>
      <t>11.6</t>
    </r>
  </si>
  <si>
    <r>
      <rPr>
        <sz val="11"/>
        <color rgb="FF001F5F"/>
        <rFont val="Calibri"/>
        <family val="2"/>
      </rPr>
      <t>Medidor grupo B - Área Rural</t>
    </r>
  </si>
  <si>
    <r>
      <rPr>
        <sz val="11"/>
        <color rgb="FF001F5F"/>
        <rFont val="Calibri"/>
        <family val="2"/>
      </rPr>
      <t>11.7</t>
    </r>
  </si>
  <si>
    <r>
      <rPr>
        <sz val="11"/>
        <color rgb="FF001F5F"/>
        <rFont val="Calibri"/>
        <family val="2"/>
      </rPr>
      <t>Medidor grupo B - Área Urbana</t>
    </r>
  </si>
  <si>
    <r>
      <rPr>
        <b/>
        <sz val="11"/>
        <color rgb="FF001F5F"/>
        <rFont val="Calibri"/>
        <family val="2"/>
      </rPr>
      <t>12       Para-Raios</t>
    </r>
  </si>
  <si>
    <r>
      <rPr>
        <sz val="11"/>
        <color rgb="FF001F5F"/>
        <rFont val="Calibri"/>
        <family val="2"/>
      </rPr>
      <t>12.1</t>
    </r>
  </si>
  <si>
    <r>
      <rPr>
        <sz val="11"/>
        <color rgb="FF001F5F"/>
        <rFont val="Calibri"/>
        <family val="2"/>
      </rPr>
      <t>Para-raios</t>
    </r>
  </si>
  <si>
    <r>
      <rPr>
        <b/>
        <sz val="11"/>
        <color rgb="FF001F5F"/>
        <rFont val="Calibri"/>
        <family val="2"/>
      </rPr>
      <t>13       Poste</t>
    </r>
  </si>
  <si>
    <r>
      <rPr>
        <sz val="11"/>
        <color rgb="FF001F5F"/>
        <rFont val="Calibri"/>
        <family val="2"/>
      </rPr>
      <t>13.1</t>
    </r>
  </si>
  <si>
    <r>
      <rPr>
        <sz val="11"/>
        <color rgb="FF001F5F"/>
        <rFont val="Calibri"/>
        <family val="2"/>
      </rPr>
      <t>Poste</t>
    </r>
  </si>
  <si>
    <r>
      <rPr>
        <sz val="11"/>
        <color rgb="FF001F5F"/>
        <rFont val="Calibri"/>
        <family val="2"/>
      </rPr>
      <t>13.2</t>
    </r>
  </si>
  <si>
    <r>
      <rPr>
        <sz val="11"/>
        <color rgb="FF001F5F"/>
        <rFont val="Calibri"/>
        <family val="2"/>
      </rPr>
      <t>Numerar posto ou equipamento (n° operativo ou n° equip.)</t>
    </r>
  </si>
  <si>
    <r>
      <rPr>
        <sz val="11"/>
        <color rgb="FF001F5F"/>
        <rFont val="Calibri"/>
        <family val="2"/>
      </rPr>
      <t>13.3</t>
    </r>
  </si>
  <si>
    <r>
      <rPr>
        <sz val="11"/>
        <color rgb="FF001F5F"/>
        <rFont val="Calibri"/>
        <family val="2"/>
      </rPr>
      <t>Concretar base</t>
    </r>
  </si>
  <si>
    <r>
      <rPr>
        <sz val="11"/>
        <color rgb="FF001F5F"/>
        <rFont val="Calibri"/>
        <family val="2"/>
      </rPr>
      <t>13.4</t>
    </r>
  </si>
  <si>
    <r>
      <rPr>
        <sz val="11"/>
        <color rgb="FF001F5F"/>
        <rFont val="Calibri"/>
        <family val="2"/>
      </rPr>
      <t>Aprumar/Estabilizar/Apiloar</t>
    </r>
  </si>
  <si>
    <r>
      <rPr>
        <sz val="11"/>
        <color rgb="FF001F5F"/>
        <rFont val="Calibri"/>
        <family val="2"/>
      </rPr>
      <t>13.51</t>
    </r>
  </si>
  <si>
    <r>
      <rPr>
        <sz val="11"/>
        <color rgb="FF001F5F"/>
        <rFont val="Calibri"/>
        <family val="2"/>
      </rPr>
      <t>Abertura de cava em rocha - Expl.</t>
    </r>
  </si>
  <si>
    <r>
      <rPr>
        <sz val="11"/>
        <color rgb="FF001F5F"/>
        <rFont val="Calibri"/>
        <family val="2"/>
      </rPr>
      <t>13.52</t>
    </r>
  </si>
  <si>
    <r>
      <rPr>
        <sz val="11"/>
        <color rgb="FF001F5F"/>
        <rFont val="Calibri"/>
        <family val="2"/>
      </rPr>
      <t>Abertura de cava em rocha - Mec</t>
    </r>
  </si>
  <si>
    <r>
      <rPr>
        <sz val="11"/>
        <color rgb="FF001F5F"/>
        <rFont val="Calibri"/>
        <family val="2"/>
      </rPr>
      <t>13.6</t>
    </r>
  </si>
  <si>
    <r>
      <rPr>
        <sz val="11"/>
        <color rgb="FF001F5F"/>
        <rFont val="Calibri"/>
        <family val="2"/>
      </rPr>
      <t>Quebrar / refazer passeio simples</t>
    </r>
  </si>
  <si>
    <r>
      <rPr>
        <sz val="11"/>
        <color rgb="FF001F5F"/>
        <rFont val="Calibri"/>
        <family val="2"/>
      </rPr>
      <t>13.7</t>
    </r>
  </si>
  <si>
    <r>
      <rPr>
        <sz val="11"/>
        <color rgb="FF001F5F"/>
        <rFont val="Calibri"/>
        <family val="2"/>
      </rPr>
      <t>Quebrar e refazer passeio especial</t>
    </r>
  </si>
  <si>
    <r>
      <rPr>
        <sz val="11"/>
        <color rgb="FF001F5F"/>
        <rFont val="Calibri"/>
        <family val="2"/>
      </rPr>
      <t>13.8</t>
    </r>
  </si>
  <si>
    <r>
      <rPr>
        <sz val="11"/>
        <color rgb="FF001F5F"/>
        <rFont val="Calibri"/>
        <family val="2"/>
      </rPr>
      <t>Estai</t>
    </r>
  </si>
  <si>
    <r>
      <rPr>
        <sz val="11"/>
        <color rgb="FF001F5F"/>
        <rFont val="Calibri"/>
        <family val="2"/>
      </rPr>
      <t>13.9</t>
    </r>
  </si>
  <si>
    <r>
      <rPr>
        <sz val="11"/>
        <color rgb="FF001F5F"/>
        <rFont val="Calibri"/>
        <family val="2"/>
      </rPr>
      <t>Retirar abelhas / insetos</t>
    </r>
  </si>
  <si>
    <r>
      <rPr>
        <sz val="11"/>
        <color rgb="FF001F5F"/>
        <rFont val="Calibri"/>
        <family val="2"/>
      </rPr>
      <t>13.10</t>
    </r>
  </si>
  <si>
    <r>
      <rPr>
        <sz val="11"/>
        <color rgb="FF001F5F"/>
        <rFont val="Calibri"/>
        <family val="2"/>
      </rPr>
      <t>Remanejo de Linhas Telefônicas, TV a Cabo ou Outros - por poste</t>
    </r>
  </si>
  <si>
    <r>
      <rPr>
        <sz val="11"/>
        <color rgb="FF001F5F"/>
        <rFont val="Calibri"/>
        <family val="2"/>
      </rPr>
      <t>13.11</t>
    </r>
  </si>
  <si>
    <r>
      <rPr>
        <sz val="11"/>
        <color rgb="FF001F5F"/>
        <rFont val="Calibri"/>
        <family val="2"/>
      </rPr>
      <t>Abertura de cava em solo rochoso</t>
    </r>
  </si>
  <si>
    <r>
      <rPr>
        <sz val="11"/>
        <color rgb="FF001F5F"/>
        <rFont val="Calibri"/>
        <family val="2"/>
      </rPr>
      <t>13.12</t>
    </r>
  </si>
  <si>
    <r>
      <rPr>
        <sz val="11"/>
        <color rgb="FF001F5F"/>
        <rFont val="Calibri"/>
        <family val="2"/>
      </rPr>
      <t>Poste de fibra</t>
    </r>
  </si>
  <si>
    <r>
      <rPr>
        <sz val="11"/>
        <color rgb="FF001F5F"/>
        <rFont val="Calibri"/>
        <family val="2"/>
      </rPr>
      <t>13.14</t>
    </r>
  </si>
  <si>
    <r>
      <rPr>
        <sz val="11"/>
        <color rgb="FF001F5F"/>
        <rFont val="Calibri"/>
        <family val="2"/>
      </rPr>
      <t>Defensa</t>
    </r>
  </si>
  <si>
    <r>
      <rPr>
        <b/>
        <sz val="11"/>
        <color rgb="FF001F5F"/>
        <rFont val="Calibri"/>
        <family val="2"/>
      </rPr>
      <t>14       Pré-reunido / cabo multiplexado</t>
    </r>
  </si>
  <si>
    <r>
      <rPr>
        <sz val="11"/>
        <color rgb="FF001F5F"/>
        <rFont val="Calibri"/>
        <family val="2"/>
      </rPr>
      <t>14.1</t>
    </r>
  </si>
  <si>
    <r>
      <rPr>
        <sz val="11"/>
        <color rgb="FF001F5F"/>
        <rFont val="Calibri"/>
        <family val="2"/>
      </rPr>
      <t>Condutor multiplexado</t>
    </r>
  </si>
  <si>
    <r>
      <rPr>
        <sz val="11"/>
        <color rgb="FF001F5F"/>
        <rFont val="Calibri"/>
        <family val="2"/>
      </rPr>
      <t>14.2</t>
    </r>
  </si>
  <si>
    <r>
      <rPr>
        <sz val="11"/>
        <color rgb="FF001F5F"/>
        <rFont val="Calibri"/>
        <family val="2"/>
      </rPr>
      <t>Tracionar / encabeçar condutor multiplexado</t>
    </r>
  </si>
  <si>
    <r>
      <rPr>
        <sz val="11"/>
        <color rgb="FF001F5F"/>
        <rFont val="Calibri"/>
        <family val="2"/>
      </rPr>
      <t>14.3</t>
    </r>
  </si>
  <si>
    <r>
      <rPr>
        <sz val="11"/>
        <color rgb="FF001F5F"/>
        <rFont val="Calibri"/>
        <family val="2"/>
      </rPr>
      <t>Emenda primária condutor isolado</t>
    </r>
  </si>
  <si>
    <r>
      <rPr>
        <sz val="11"/>
        <color rgb="FF001F5F"/>
        <rFont val="Calibri"/>
        <family val="2"/>
      </rPr>
      <t>14.4</t>
    </r>
  </si>
  <si>
    <r>
      <rPr>
        <sz val="11"/>
        <color rgb="FF001F5F"/>
        <rFont val="Calibri"/>
        <family val="2"/>
      </rPr>
      <t>Emenda secundária condutor multiplexado</t>
    </r>
  </si>
  <si>
    <r>
      <rPr>
        <sz val="11"/>
        <color rgb="FF001F5F"/>
        <rFont val="Calibri"/>
        <family val="2"/>
      </rPr>
      <t>14.5</t>
    </r>
  </si>
  <si>
    <r>
      <rPr>
        <sz val="11"/>
        <color rgb="FF001F5F"/>
        <rFont val="Calibri"/>
        <family val="2"/>
      </rPr>
      <t>Terminal termo-contrátil ou contrátil frio condutor prim. Isolado</t>
    </r>
  </si>
  <si>
    <r>
      <rPr>
        <sz val="11"/>
        <color rgb="FF001F5F"/>
        <rFont val="Calibri"/>
        <family val="2"/>
      </rPr>
      <t>14.6</t>
    </r>
  </si>
  <si>
    <r>
      <rPr>
        <sz val="11"/>
        <color rgb="FF001F5F"/>
        <rFont val="Calibri"/>
        <family val="2"/>
      </rPr>
      <t>Flying tap secundário condutor multiplexado</t>
    </r>
  </si>
  <si>
    <r>
      <rPr>
        <sz val="11"/>
        <color rgb="FF001F5F"/>
        <rFont val="Calibri"/>
        <family val="2"/>
      </rPr>
      <t>14.7</t>
    </r>
  </si>
  <si>
    <r>
      <rPr>
        <sz val="11"/>
        <color rgb="FF001F5F"/>
        <rFont val="Calibri"/>
        <family val="2"/>
      </rPr>
      <t>Seccionar cabo multiplexados secundário</t>
    </r>
  </si>
  <si>
    <r>
      <rPr>
        <sz val="11"/>
        <color rgb="FF001F5F"/>
        <rFont val="Calibri"/>
        <family val="2"/>
      </rPr>
      <t>14.8</t>
    </r>
  </si>
  <si>
    <r>
      <rPr>
        <sz val="11"/>
        <color rgb="FF001F5F"/>
        <rFont val="Calibri"/>
        <family val="2"/>
      </rPr>
      <t>Interligar cabo multiplexado ao transformador</t>
    </r>
  </si>
  <si>
    <r>
      <rPr>
        <sz val="11"/>
        <color rgb="FF001F5F"/>
        <rFont val="Calibri"/>
        <family val="2"/>
      </rPr>
      <t>14.9</t>
    </r>
  </si>
  <si>
    <r>
      <rPr>
        <sz val="11"/>
        <color rgb="FF001F5F"/>
        <rFont val="Calibri"/>
        <family val="2"/>
      </rPr>
      <t>Rabichos</t>
    </r>
  </si>
  <si>
    <r>
      <rPr>
        <sz val="11"/>
        <color rgb="FF001F5F"/>
        <rFont val="Calibri"/>
        <family val="2"/>
      </rPr>
      <t>14.10</t>
    </r>
  </si>
  <si>
    <r>
      <rPr>
        <sz val="11"/>
        <color rgb="FF001F5F"/>
        <rFont val="Calibri"/>
        <family val="2"/>
      </rPr>
      <t>Conexão tipo perfuração</t>
    </r>
  </si>
  <si>
    <r>
      <rPr>
        <b/>
        <sz val="11"/>
        <color rgb="FF001F5F"/>
        <rFont val="Calibri"/>
        <family val="2"/>
      </rPr>
      <t>15       Rede protegida compacta (spacer cable)</t>
    </r>
  </si>
  <si>
    <r>
      <rPr>
        <sz val="11"/>
        <color rgb="FF001F5F"/>
        <rFont val="Calibri"/>
        <family val="2"/>
      </rPr>
      <t>15.1</t>
    </r>
  </si>
  <si>
    <r>
      <rPr>
        <sz val="11"/>
        <color rgb="FF001F5F"/>
        <rFont val="Calibri"/>
        <family val="2"/>
      </rPr>
      <t>Estrutura primária</t>
    </r>
  </si>
  <si>
    <r>
      <rPr>
        <sz val="11"/>
        <color rgb="FF001F5F"/>
        <rFont val="Calibri"/>
        <family val="2"/>
      </rPr>
      <t>15.2</t>
    </r>
  </si>
  <si>
    <r>
      <rPr>
        <sz val="11"/>
        <color rgb="FF001F5F"/>
        <rFont val="Calibri"/>
        <family val="2"/>
      </rPr>
      <t>Estrutura p/ chave faca / fusível (com chaves)</t>
    </r>
  </si>
  <si>
    <r>
      <rPr>
        <sz val="11"/>
        <color rgb="FF001F5F"/>
        <rFont val="Calibri"/>
        <family val="2"/>
      </rPr>
      <t>15.3</t>
    </r>
  </si>
  <si>
    <r>
      <rPr>
        <sz val="11"/>
        <color rgb="FF001F5F"/>
        <rFont val="Calibri"/>
        <family val="2"/>
      </rPr>
      <t>Espaçador para rede compacta</t>
    </r>
  </si>
  <si>
    <r>
      <rPr>
        <sz val="11"/>
        <color rgb="FF001F5F"/>
        <rFont val="Calibri"/>
        <family val="2"/>
      </rPr>
      <t>15.4</t>
    </r>
  </si>
  <si>
    <r>
      <rPr>
        <sz val="11"/>
        <color rgb="FF001F5F"/>
        <rFont val="Calibri"/>
        <family val="2"/>
      </rPr>
      <t>Condutor</t>
    </r>
  </si>
  <si>
    <r>
      <rPr>
        <sz val="11"/>
        <color rgb="FF001F5F"/>
        <rFont val="Calibri"/>
        <family val="2"/>
      </rPr>
      <t>15.5</t>
    </r>
  </si>
  <si>
    <r>
      <rPr>
        <sz val="11"/>
        <color rgb="FF001F5F"/>
        <rFont val="Calibri"/>
        <family val="2"/>
      </rPr>
      <t>Conexão (cabo protegido)</t>
    </r>
  </si>
  <si>
    <r>
      <rPr>
        <sz val="11"/>
        <color rgb="FF001F5F"/>
        <rFont val="Calibri"/>
        <family val="2"/>
      </rPr>
      <t>15.6</t>
    </r>
  </si>
  <si>
    <r>
      <rPr>
        <sz val="11"/>
        <color rgb="FF001F5F"/>
        <rFont val="Calibri"/>
        <family val="2"/>
      </rPr>
      <t>Encabeçar cabo protegido</t>
    </r>
  </si>
  <si>
    <r>
      <rPr>
        <sz val="11"/>
        <color rgb="FF001F5F"/>
        <rFont val="Calibri"/>
        <family val="2"/>
      </rPr>
      <t>15.7</t>
    </r>
  </si>
  <si>
    <r>
      <rPr>
        <sz val="11"/>
        <color rgb="FF001F5F"/>
        <rFont val="Calibri"/>
        <family val="2"/>
      </rPr>
      <t>Tracionar / encabeçar (mensageiro)</t>
    </r>
  </si>
  <si>
    <r>
      <rPr>
        <sz val="11"/>
        <color rgb="FF001F5F"/>
        <rFont val="Calibri"/>
        <family val="2"/>
      </rPr>
      <t>15.8</t>
    </r>
  </si>
  <si>
    <r>
      <rPr>
        <sz val="11"/>
        <color rgb="FF001F5F"/>
        <rFont val="Calibri"/>
        <family val="2"/>
      </rPr>
      <t>Flying tap</t>
    </r>
  </si>
  <si>
    <r>
      <rPr>
        <b/>
        <sz val="11"/>
        <color rgb="FF001F5F"/>
        <rFont val="Calibri"/>
        <family val="2"/>
      </rPr>
      <t>16       Atividades em linha / redes energizadas</t>
    </r>
  </si>
  <si>
    <r>
      <rPr>
        <sz val="11"/>
        <color rgb="FF001F5F"/>
        <rFont val="Calibri"/>
        <family val="2"/>
      </rPr>
      <t>16.1</t>
    </r>
  </si>
  <si>
    <r>
      <rPr>
        <sz val="11"/>
        <color rgb="FF001F5F"/>
        <rFont val="Calibri"/>
        <family val="2"/>
      </rPr>
      <t>Fasear / rotacionar circuito primário</t>
    </r>
  </si>
  <si>
    <r>
      <rPr>
        <sz val="11"/>
        <color rgb="FF001F5F"/>
        <rFont val="Calibri"/>
        <family val="2"/>
      </rPr>
      <t>16.2</t>
    </r>
  </si>
  <si>
    <r>
      <rPr>
        <sz val="11"/>
        <color rgb="FF001F5F"/>
        <rFont val="Calibri"/>
        <family val="2"/>
      </rPr>
      <t>Inspeção e reaperto geral estrutura primária</t>
    </r>
  </si>
  <si>
    <r>
      <rPr>
        <sz val="11"/>
        <color rgb="FF001F5F"/>
        <rFont val="Calibri"/>
        <family val="2"/>
      </rPr>
      <t>16.3</t>
    </r>
  </si>
  <si>
    <r>
      <rPr>
        <sz val="11"/>
        <color rgb="FF001F5F"/>
        <rFont val="Calibri"/>
        <family val="2"/>
      </rPr>
      <t>Estrutura primaria</t>
    </r>
  </si>
  <si>
    <r>
      <rPr>
        <sz val="11"/>
        <color rgb="FF001F5F"/>
        <rFont val="Calibri"/>
        <family val="2"/>
      </rPr>
      <t>16.4</t>
    </r>
  </si>
  <si>
    <r>
      <rPr>
        <sz val="11"/>
        <color rgb="FF001F5F"/>
        <rFont val="Calibri"/>
        <family val="2"/>
      </rPr>
      <t>Estrutura p/ chave faca / fusível</t>
    </r>
  </si>
  <si>
    <r>
      <rPr>
        <sz val="11"/>
        <color rgb="FF001F5F"/>
        <rFont val="Calibri"/>
        <family val="2"/>
      </rPr>
      <t>16.5</t>
    </r>
  </si>
  <si>
    <r>
      <rPr>
        <sz val="11"/>
        <color rgb="FF001F5F"/>
        <rFont val="Calibri"/>
        <family val="2"/>
      </rPr>
      <t>Estrutura c/ equipamento</t>
    </r>
  </si>
  <si>
    <r>
      <rPr>
        <sz val="11"/>
        <color rgb="FF001F5F"/>
        <rFont val="Calibri"/>
        <family val="2"/>
      </rPr>
      <t>16.6</t>
    </r>
  </si>
  <si>
    <r>
      <rPr>
        <sz val="11"/>
        <color rgb="FF001F5F"/>
        <rFont val="Calibri"/>
        <family val="2"/>
      </rPr>
      <t>Estrutura equipamento automatizado</t>
    </r>
  </si>
  <si>
    <r>
      <rPr>
        <sz val="11"/>
        <color rgb="FF001F5F"/>
        <rFont val="Calibri"/>
        <family val="2"/>
      </rPr>
      <t>16.7</t>
    </r>
  </si>
  <si>
    <r>
      <rPr>
        <sz val="11"/>
        <color rgb="FF001F5F"/>
        <rFont val="Calibri"/>
        <family val="2"/>
      </rPr>
      <t>Modificar estrutura primária</t>
    </r>
  </si>
  <si>
    <r>
      <rPr>
        <sz val="11"/>
        <color rgb="FF001F5F"/>
        <rFont val="Calibri"/>
        <family val="2"/>
      </rPr>
      <t>16.8</t>
    </r>
  </si>
  <si>
    <r>
      <rPr>
        <sz val="11"/>
        <color rgb="FF001F5F"/>
        <rFont val="Calibri"/>
        <family val="2"/>
      </rPr>
      <t>Aprumar poste</t>
    </r>
  </si>
  <si>
    <r>
      <rPr>
        <sz val="11"/>
        <color rgb="FF001F5F"/>
        <rFont val="Calibri"/>
        <family val="2"/>
      </rPr>
      <t>16.9</t>
    </r>
  </si>
  <si>
    <r>
      <rPr>
        <sz val="11"/>
        <color rgb="FF001F5F"/>
        <rFont val="Calibri"/>
        <family val="2"/>
      </rPr>
      <t>16.10</t>
    </r>
  </si>
  <si>
    <r>
      <rPr>
        <sz val="11"/>
        <color rgb="FF001F5F"/>
        <rFont val="Calibri"/>
        <family val="2"/>
      </rPr>
      <t>Poda árvore (sem remoção)</t>
    </r>
  </si>
  <si>
    <r>
      <rPr>
        <sz val="11"/>
        <color rgb="FF001F5F"/>
        <rFont val="Calibri"/>
        <family val="2"/>
      </rPr>
      <t>16.12</t>
    </r>
  </si>
  <si>
    <r>
      <rPr>
        <sz val="11"/>
        <color rgb="FF001F5F"/>
        <rFont val="Calibri"/>
        <family val="2"/>
      </rPr>
      <t>Emenda condutor</t>
    </r>
  </si>
  <si>
    <r>
      <rPr>
        <sz val="11"/>
        <color rgb="FF001F5F"/>
        <rFont val="Calibri"/>
        <family val="2"/>
      </rPr>
      <t>16.13</t>
    </r>
  </si>
  <si>
    <r>
      <rPr>
        <sz val="11"/>
        <color rgb="FF001F5F"/>
        <rFont val="Calibri"/>
        <family val="2"/>
      </rPr>
      <t>Jumpe / Flying TAP (abrir e fechar)</t>
    </r>
  </si>
  <si>
    <r>
      <rPr>
        <sz val="11"/>
        <color rgb="FF001F5F"/>
        <rFont val="Calibri"/>
        <family val="2"/>
      </rPr>
      <t>16.14</t>
    </r>
  </si>
  <si>
    <r>
      <rPr>
        <sz val="11"/>
        <color rgb="FF001F5F"/>
        <rFont val="Calibri"/>
        <family val="2"/>
      </rPr>
      <t>16.15</t>
    </r>
  </si>
  <si>
    <r>
      <rPr>
        <sz val="11"/>
        <color rgb="FF001F5F"/>
        <rFont val="Calibri"/>
        <family val="2"/>
      </rPr>
      <t>16.16</t>
    </r>
  </si>
  <si>
    <r>
      <rPr>
        <sz val="11"/>
        <color rgb="FF001F5F"/>
        <rFont val="Calibri"/>
        <family val="2"/>
      </rPr>
      <t>Isolador / amarração</t>
    </r>
  </si>
  <si>
    <r>
      <rPr>
        <sz val="11"/>
        <color rgb="FF001F5F"/>
        <rFont val="Calibri"/>
        <family val="2"/>
      </rPr>
      <t>16.17</t>
    </r>
  </si>
  <si>
    <r>
      <rPr>
        <sz val="11"/>
        <color rgb="FF001F5F"/>
        <rFont val="Calibri"/>
        <family val="2"/>
      </rPr>
      <t>16.18</t>
    </r>
  </si>
  <si>
    <r>
      <rPr>
        <sz val="11"/>
        <color rgb="FF001F5F"/>
        <rFont val="Calibri"/>
        <family val="2"/>
      </rPr>
      <t xml:space="preserve">Utilização </t>
    </r>
    <r>
      <rPr>
        <i/>
        <sz val="11"/>
        <color rgb="FF001F5F"/>
        <rFont val="Calibri"/>
        <family val="2"/>
      </rPr>
      <t>Big Jumper</t>
    </r>
  </si>
  <si>
    <r>
      <rPr>
        <sz val="11"/>
        <color rgb="FF001F5F"/>
        <rFont val="Calibri"/>
        <family val="2"/>
      </rPr>
      <t>16.19</t>
    </r>
  </si>
  <si>
    <r>
      <rPr>
        <sz val="11"/>
        <color rgb="FF001F5F"/>
        <rFont val="Calibri"/>
        <family val="2"/>
      </rPr>
      <t>Chave fusível / faca / repetidora (equipamento)</t>
    </r>
  </si>
  <si>
    <r>
      <rPr>
        <sz val="11"/>
        <color rgb="FF001F5F"/>
        <rFont val="Calibri"/>
        <family val="2"/>
      </rPr>
      <t>16.20</t>
    </r>
  </si>
  <si>
    <r>
      <rPr>
        <sz val="11"/>
        <color rgb="FF001F5F"/>
        <rFont val="Calibri"/>
        <family val="2"/>
      </rPr>
      <t>16.21</t>
    </r>
  </si>
  <si>
    <r>
      <rPr>
        <sz val="11"/>
        <color rgb="FF001F5F"/>
        <rFont val="Calibri"/>
        <family val="2"/>
      </rPr>
      <t>Chave tripolar / regulador de tensão / religador / seccionalizador / unidades capacitativas / medição externa ( equip.)</t>
    </r>
  </si>
  <si>
    <r>
      <rPr>
        <sz val="11"/>
        <color rgb="FF001F5F"/>
        <rFont val="Calibri"/>
        <family val="2"/>
      </rPr>
      <t>16.22</t>
    </r>
  </si>
  <si>
    <r>
      <rPr>
        <sz val="11"/>
        <color rgb="FF001F5F"/>
        <rFont val="Calibri"/>
        <family val="2"/>
      </rPr>
      <t>Condutores ligação do transf. / chaves à rd MT c/ protetor de bucha</t>
    </r>
  </si>
  <si>
    <r>
      <rPr>
        <sz val="11"/>
        <color rgb="FF001F5F"/>
        <rFont val="Calibri"/>
        <family val="2"/>
      </rPr>
      <t>16.23</t>
    </r>
  </si>
  <si>
    <r>
      <rPr>
        <sz val="11"/>
        <color rgb="FF001F5F"/>
        <rFont val="Calibri"/>
        <family val="2"/>
      </rPr>
      <t>Chave By-Pass</t>
    </r>
  </si>
  <si>
    <r>
      <rPr>
        <sz val="11"/>
        <color rgb="FF001F5F"/>
        <rFont val="Calibri"/>
        <family val="2"/>
      </rPr>
      <t>16.24</t>
    </r>
  </si>
  <si>
    <r>
      <rPr>
        <sz val="11"/>
        <color rgb="FF001F5F"/>
        <rFont val="Calibri"/>
        <family val="2"/>
      </rPr>
      <t>Esfera de sinalização com seccionamento do condutor</t>
    </r>
  </si>
  <si>
    <r>
      <rPr>
        <sz val="11"/>
        <color rgb="FF001F5F"/>
        <rFont val="Calibri"/>
        <family val="2"/>
      </rPr>
      <t>16.25</t>
    </r>
  </si>
  <si>
    <r>
      <rPr>
        <sz val="11"/>
        <color rgb="FF001F5F"/>
        <rFont val="Calibri"/>
        <family val="2"/>
      </rPr>
      <t>Espaçador / separador</t>
    </r>
  </si>
  <si>
    <r>
      <rPr>
        <sz val="11"/>
        <color rgb="FF001F5F"/>
        <rFont val="Calibri"/>
        <family val="2"/>
      </rPr>
      <t>16.26</t>
    </r>
  </si>
  <si>
    <r>
      <rPr>
        <sz val="11"/>
        <color rgb="FF001F5F"/>
        <rFont val="Calibri"/>
        <family val="2"/>
      </rPr>
      <t>Utilização de Grupo Gerador</t>
    </r>
  </si>
  <si>
    <r>
      <rPr>
        <sz val="11"/>
        <color rgb="FF001F5F"/>
        <rFont val="Calibri"/>
        <family val="2"/>
      </rPr>
      <t>16.29</t>
    </r>
  </si>
  <si>
    <r>
      <rPr>
        <sz val="11"/>
        <color rgb="FF001F5F"/>
        <rFont val="Calibri"/>
        <family val="2"/>
      </rPr>
      <t>Utilização de dispositivo de elevaçao</t>
    </r>
  </si>
  <si>
    <r>
      <rPr>
        <sz val="11"/>
        <color rgb="FF001F5F"/>
        <rFont val="Calibri"/>
        <family val="2"/>
      </rPr>
      <t>17.1</t>
    </r>
  </si>
  <si>
    <r>
      <rPr>
        <sz val="11"/>
        <color rgb="FF001F5F"/>
        <rFont val="Calibri"/>
        <family val="2"/>
      </rPr>
      <t>Projeto de Rede Distribuição - P1</t>
    </r>
  </si>
  <si>
    <r>
      <rPr>
        <sz val="11"/>
        <color rgb="FF001F5F"/>
        <rFont val="Calibri"/>
        <family val="2"/>
      </rPr>
      <t>h</t>
    </r>
  </si>
  <si>
    <r>
      <rPr>
        <sz val="11"/>
        <color rgb="FF001F5F"/>
        <rFont val="Calibri"/>
        <family val="2"/>
      </rPr>
      <t>Projetar</t>
    </r>
  </si>
  <si>
    <r>
      <rPr>
        <sz val="11"/>
        <color rgb="FF001F5F"/>
        <rFont val="Calibri"/>
        <family val="2"/>
      </rPr>
      <t>Projeto de Rede Distribuição - P2</t>
    </r>
  </si>
  <si>
    <r>
      <rPr>
        <sz val="11"/>
        <color rgb="FF001F5F"/>
        <rFont val="Calibri"/>
        <family val="2"/>
      </rPr>
      <t>Projeto de Rede Distribuição - P3</t>
    </r>
  </si>
  <si>
    <r>
      <rPr>
        <sz val="11"/>
        <color rgb="FF001F5F"/>
        <rFont val="Calibri"/>
        <family val="2"/>
      </rPr>
      <t>Projeto de Rede Distribuição - P4</t>
    </r>
  </si>
  <si>
    <r>
      <rPr>
        <b/>
        <sz val="11"/>
        <color rgb="FF001F5F"/>
        <rFont val="Calibri"/>
        <family val="2"/>
      </rPr>
      <t>18       Manobras de chaves</t>
    </r>
  </si>
  <si>
    <r>
      <rPr>
        <sz val="11"/>
        <color rgb="FF001F5F"/>
        <rFont val="Calibri"/>
        <family val="2"/>
      </rPr>
      <t>18.1</t>
    </r>
  </si>
  <si>
    <r>
      <rPr>
        <sz val="11"/>
        <color rgb="FF001F5F"/>
        <rFont val="Calibri"/>
        <family val="2"/>
      </rPr>
      <t>Manobras de chaves e equipamentos</t>
    </r>
  </si>
  <si>
    <r>
      <rPr>
        <b/>
        <sz val="11"/>
        <color rgb="FF001F5F"/>
        <rFont val="Calibri"/>
        <family val="2"/>
      </rPr>
      <t>19       Rede Aérea  blindada Secundária</t>
    </r>
  </si>
  <si>
    <r>
      <rPr>
        <sz val="11"/>
        <color rgb="FF001F5F"/>
        <rFont val="Calibri"/>
        <family val="2"/>
      </rPr>
      <t>19.1</t>
    </r>
  </si>
  <si>
    <r>
      <rPr>
        <sz val="11"/>
        <color rgb="FF001F5F"/>
        <rFont val="Calibri"/>
        <family val="2"/>
      </rPr>
      <t>Cabo Armado</t>
    </r>
  </si>
  <si>
    <r>
      <rPr>
        <sz val="11"/>
        <color rgb="FF001F5F"/>
        <rFont val="Calibri"/>
        <family val="2"/>
      </rPr>
      <t>19.2</t>
    </r>
  </si>
  <si>
    <r>
      <rPr>
        <sz val="11"/>
        <color rgb="FF001F5F"/>
        <rFont val="Calibri"/>
        <family val="2"/>
      </rPr>
      <t>Caixa derivação cliente ou caixa de blindagem barramento de trafo</t>
    </r>
  </si>
  <si>
    <r>
      <rPr>
        <sz val="11"/>
        <color rgb="FF001F5F"/>
        <rFont val="Calibri"/>
        <family val="2"/>
      </rPr>
      <t>19.3</t>
    </r>
  </si>
  <si>
    <r>
      <rPr>
        <sz val="11"/>
        <color rgb="FF001F5F"/>
        <rFont val="Calibri"/>
        <family val="2"/>
      </rPr>
      <t>Caixa de blindagem da rede</t>
    </r>
  </si>
  <si>
    <r>
      <rPr>
        <sz val="11"/>
        <color rgb="FF001F5F"/>
        <rFont val="Calibri"/>
        <family val="2"/>
      </rPr>
      <t>19.4</t>
    </r>
  </si>
  <si>
    <r>
      <rPr>
        <sz val="11"/>
        <color rgb="FF001F5F"/>
        <rFont val="Calibri"/>
        <family val="2"/>
      </rPr>
      <t>Ramal de ligação Concêntrico</t>
    </r>
  </si>
  <si>
    <t>17       Projetos de Redes de Distribuição</t>
  </si>
  <si>
    <t>18       Manobras de chaves</t>
  </si>
  <si>
    <t>19       Rede Aére blindada Secundária</t>
  </si>
  <si>
    <r>
      <rPr>
        <b/>
        <sz val="11"/>
        <color rgb="FF001F5F"/>
        <rFont val="Calibri"/>
        <family val="2"/>
      </rPr>
      <t>Atividade Emergenciais</t>
    </r>
  </si>
  <si>
    <r>
      <rPr>
        <b/>
        <sz val="11"/>
        <color rgb="FF001F5F"/>
        <rFont val="Calibri"/>
        <family val="2"/>
      </rPr>
      <t>1         Vegetação</t>
    </r>
  </si>
  <si>
    <r>
      <rPr>
        <sz val="11"/>
        <color rgb="FF001F5F"/>
        <rFont val="Calibri"/>
        <family val="2"/>
      </rPr>
      <t>Poda árvore urbana ou rural (sem remoção)</t>
    </r>
  </si>
  <si>
    <r>
      <rPr>
        <sz val="11"/>
        <color rgb="FFC00000"/>
        <rFont val="Calibri"/>
        <family val="2"/>
      </rPr>
      <t>Emerg. Inst.</t>
    </r>
  </si>
  <si>
    <r>
      <rPr>
        <sz val="11"/>
        <color rgb="FF001F5F"/>
        <rFont val="Calibri"/>
        <family val="2"/>
      </rPr>
      <t>Corte árvore grande urbana ou rural (sem remoção)</t>
    </r>
  </si>
  <si>
    <r>
      <rPr>
        <sz val="11"/>
        <color rgb="FF001F5F"/>
        <rFont val="Calibri"/>
        <family val="2"/>
      </rPr>
      <t>Corte árvore peq./méd. urbana ou rural (sem rem.)</t>
    </r>
  </si>
  <si>
    <r>
      <rPr>
        <sz val="11"/>
        <color rgb="FF001F5F"/>
        <rFont val="Calibri"/>
        <family val="2"/>
      </rPr>
      <t>Desmatamento, aceiro, roçada, corte de bambú e árv.
esp. c/ remoção</t>
    </r>
  </si>
  <si>
    <r>
      <rPr>
        <sz val="11"/>
        <color rgb="FF001F5F"/>
        <rFont val="Calibri"/>
        <family val="2"/>
      </rPr>
      <t>Desmatamento, aceiro, roçada, corte de bambú e árv.
esp c/ remoção</t>
    </r>
  </si>
  <si>
    <r>
      <rPr>
        <b/>
        <sz val="11"/>
        <color rgb="FF001F5F"/>
        <rFont val="Calibri"/>
        <family val="2"/>
      </rPr>
      <t>2         Aterramento</t>
    </r>
  </si>
  <si>
    <r>
      <rPr>
        <b/>
        <sz val="11"/>
        <color rgb="FF001F5F"/>
        <rFont val="Calibri"/>
        <family val="2"/>
      </rPr>
      <t>3         Chave faca / fusível (unipolar) / tripolar</t>
    </r>
  </si>
  <si>
    <r>
      <rPr>
        <sz val="11"/>
        <color rgb="FFC00000"/>
        <rFont val="Calibri"/>
        <family val="2"/>
      </rPr>
      <t>Emerg. Subs.</t>
    </r>
  </si>
  <si>
    <r>
      <rPr>
        <sz val="11"/>
        <color rgb="FF001F5F"/>
        <rFont val="Calibri"/>
        <family val="2"/>
      </rPr>
      <t>Estr. Monofásica para chave faca / fusível / Repetidora</t>
    </r>
  </si>
  <si>
    <r>
      <rPr>
        <b/>
        <sz val="11"/>
        <color rgb="FF001F5F"/>
        <rFont val="Calibri"/>
        <family val="2"/>
      </rPr>
      <t>4         Condutor comum</t>
    </r>
  </si>
  <si>
    <r>
      <rPr>
        <sz val="11"/>
        <color rgb="FFC00000"/>
        <rFont val="Calibri"/>
        <family val="2"/>
      </rPr>
      <t>Emerg. Ret.</t>
    </r>
  </si>
  <si>
    <r>
      <rPr>
        <sz val="11"/>
        <color rgb="FFC00000"/>
        <rFont val="Calibri"/>
        <family val="2"/>
      </rPr>
      <t>Emerg. Reinst.</t>
    </r>
  </si>
  <si>
    <r>
      <rPr>
        <sz val="11"/>
        <color rgb="FF001F5F"/>
        <rFont val="Calibri"/>
        <family val="2"/>
      </rPr>
      <t>4.6.1</t>
    </r>
  </si>
  <si>
    <r>
      <rPr>
        <sz val="11"/>
        <color rgb="FF001F5F"/>
        <rFont val="Calibri"/>
        <family val="2"/>
      </rPr>
      <t>Emendas condutor BT e MT</t>
    </r>
  </si>
  <si>
    <r>
      <rPr>
        <sz val="11"/>
        <color rgb="FF001F5F"/>
        <rFont val="Calibri"/>
        <family val="2"/>
      </rPr>
      <t>Espaçador rede / afastador tirante / Esfera de sinalização</t>
    </r>
  </si>
  <si>
    <r>
      <rPr>
        <b/>
        <sz val="11"/>
        <color rgb="FF001F5F"/>
        <rFont val="Calibri"/>
        <family val="2"/>
      </rPr>
      <t>5         Equipamento</t>
    </r>
  </si>
  <si>
    <r>
      <rPr>
        <sz val="11"/>
        <color rgb="FF001F5F"/>
        <rFont val="Calibri"/>
        <family val="2"/>
      </rPr>
      <t>5.9</t>
    </r>
  </si>
  <si>
    <r>
      <rPr>
        <sz val="11"/>
        <color rgb="FF001F5F"/>
        <rFont val="Calibri"/>
        <family val="2"/>
      </rPr>
      <t>Equipamento Emergencial</t>
    </r>
  </si>
  <si>
    <r>
      <rPr>
        <b/>
        <sz val="11"/>
        <color rgb="FF001F5F"/>
        <rFont val="Calibri"/>
        <family val="2"/>
      </rPr>
      <t>8         Estrutura</t>
    </r>
  </si>
  <si>
    <r>
      <rPr>
        <sz val="11"/>
        <color rgb="FF001F5F"/>
        <rFont val="Calibri"/>
        <family val="2"/>
      </rPr>
      <t>Estrutura primária para circuito monofásico (condutor
comum)</t>
    </r>
  </si>
  <si>
    <r>
      <rPr>
        <b/>
        <sz val="11"/>
        <color rgb="FF001F5F"/>
        <rFont val="Calibri"/>
        <family val="2"/>
      </rPr>
      <t>9         Iluminação Pública</t>
    </r>
  </si>
  <si>
    <r>
      <rPr>
        <sz val="11"/>
        <color rgb="FF001F5F"/>
        <rFont val="Calibri"/>
        <family val="2"/>
      </rPr>
      <t>Conjunto de iluminação pública</t>
    </r>
  </si>
  <si>
    <r>
      <rPr>
        <b/>
        <sz val="11"/>
        <color rgb="FF001F5F"/>
        <rFont val="Calibri"/>
        <family val="2"/>
      </rPr>
      <t>10        Isolador</t>
    </r>
  </si>
  <si>
    <r>
      <rPr>
        <b/>
        <sz val="11"/>
        <color rgb="FF001F5F"/>
        <rFont val="Calibri"/>
        <family val="2"/>
      </rPr>
      <t>11        Ligação</t>
    </r>
  </si>
  <si>
    <r>
      <rPr>
        <b/>
        <sz val="11"/>
        <color rgb="FF001F5F"/>
        <rFont val="Calibri"/>
        <family val="2"/>
      </rPr>
      <t>12        Para-Raios</t>
    </r>
  </si>
  <si>
    <r>
      <rPr>
        <b/>
        <sz val="11"/>
        <color rgb="FF001F5F"/>
        <rFont val="Calibri"/>
        <family val="2"/>
      </rPr>
      <t>13        Poste</t>
    </r>
  </si>
  <si>
    <r>
      <rPr>
        <sz val="11"/>
        <color rgb="FF001F5F"/>
        <rFont val="Calibri"/>
        <family val="2"/>
      </rPr>
      <t>Remanejo de Linhas Telefônicas, TV a Cabo ou Outros,
por poste</t>
    </r>
  </si>
  <si>
    <r>
      <rPr>
        <sz val="11"/>
        <color rgb="FF001F5F"/>
        <rFont val="Calibri"/>
        <family val="2"/>
      </rPr>
      <t>13.15</t>
    </r>
  </si>
  <si>
    <r>
      <rPr>
        <sz val="11"/>
        <color rgb="FF001F5F"/>
        <rFont val="Calibri"/>
        <family val="2"/>
      </rPr>
      <t>Poste primário</t>
    </r>
  </si>
  <si>
    <r>
      <rPr>
        <sz val="11"/>
        <color rgb="FF001F5F"/>
        <rFont val="Calibri"/>
        <family val="2"/>
      </rPr>
      <t>13.16</t>
    </r>
  </si>
  <si>
    <r>
      <rPr>
        <sz val="11"/>
        <color rgb="FF001F5F"/>
        <rFont val="Calibri"/>
        <family val="2"/>
      </rPr>
      <t>Poste primário com equipamento</t>
    </r>
  </si>
  <si>
    <r>
      <rPr>
        <sz val="11"/>
        <color rgb="FF001F5F"/>
        <rFont val="Calibri"/>
        <family val="2"/>
      </rPr>
      <t>13.17</t>
    </r>
  </si>
  <si>
    <r>
      <rPr>
        <sz val="11"/>
        <color rgb="FF001F5F"/>
        <rFont val="Calibri"/>
        <family val="2"/>
      </rPr>
      <t>Poste secundário</t>
    </r>
  </si>
  <si>
    <r>
      <rPr>
        <sz val="11"/>
        <color rgb="FF001F5F"/>
        <rFont val="Calibri"/>
        <family val="2"/>
      </rPr>
      <t>13.18</t>
    </r>
  </si>
  <si>
    <r>
      <rPr>
        <sz val="11"/>
        <color rgb="FF001F5F"/>
        <rFont val="Calibri"/>
        <family val="2"/>
      </rPr>
      <t>Instalação de tala ou aprumar poste</t>
    </r>
  </si>
  <si>
    <r>
      <rPr>
        <b/>
        <sz val="11"/>
        <color rgb="FF001F5F"/>
        <rFont val="Calibri"/>
        <family val="2"/>
      </rPr>
      <t>14        Pré-reunido / cabo multiplexado</t>
    </r>
  </si>
  <si>
    <r>
      <rPr>
        <sz val="11"/>
        <color rgb="FF001F5F"/>
        <rFont val="Calibri"/>
        <family val="2"/>
      </rPr>
      <t>Terminal termo-contrátil ou contrátil frio condutor
prim. Isolado</t>
    </r>
  </si>
  <si>
    <r>
      <rPr>
        <sz val="11"/>
        <color rgb="FF001F5F"/>
        <rFont val="Calibri"/>
        <family val="2"/>
      </rPr>
      <t>Seccionar cabo multipl. sec.</t>
    </r>
  </si>
  <si>
    <r>
      <rPr>
        <b/>
        <sz val="11"/>
        <color rgb="FF001F5F"/>
        <rFont val="Calibri"/>
        <family val="2"/>
      </rPr>
      <t>15        Rede protegida compacta (spacer cable)</t>
    </r>
  </si>
  <si>
    <r>
      <rPr>
        <sz val="11"/>
        <color rgb="FF001F5F"/>
        <rFont val="Calibri"/>
        <family val="2"/>
      </rPr>
      <t>Conexão cabo protegido</t>
    </r>
  </si>
  <si>
    <r>
      <rPr>
        <b/>
        <sz val="11"/>
        <color rgb="FF001F5F"/>
        <rFont val="Calibri"/>
        <family val="2"/>
      </rPr>
      <t>16        Atividades em linha / redes energizadas</t>
    </r>
  </si>
  <si>
    <r>
      <rPr>
        <sz val="11"/>
        <color rgb="FF001F5F"/>
        <rFont val="Calibri"/>
        <family val="2"/>
      </rPr>
      <t>Estrutura chave tripolar automatizada</t>
    </r>
  </si>
  <si>
    <r>
      <rPr>
        <sz val="11"/>
        <color rgb="FF001F5F"/>
        <rFont val="Calibri"/>
        <family val="2"/>
      </rPr>
      <t>Jumper / flying tap (Abrir ou fechar)</t>
    </r>
  </si>
  <si>
    <r>
      <rPr>
        <sz val="11"/>
        <color rgb="FF001F5F"/>
        <rFont val="Calibri"/>
        <family val="2"/>
      </rPr>
      <t>Chave tripolar / regulador de tensão / religador / seccionalizador / unidades capacitativas / medição
externa ( equip.)</t>
    </r>
  </si>
  <si>
    <r>
      <rPr>
        <sz val="11"/>
        <color rgb="FF001F5F"/>
        <rFont val="Calibri"/>
        <family val="2"/>
      </rPr>
      <t>Condutores de ligação do transformador / chaves à
rede MT com protetor de bucha</t>
    </r>
  </si>
  <si>
    <r>
      <rPr>
        <sz val="11"/>
        <color rgb="FF001F5F"/>
        <rFont val="Calibri"/>
        <family val="2"/>
      </rPr>
      <t>16.27</t>
    </r>
  </si>
  <si>
    <r>
      <rPr>
        <sz val="11"/>
        <color rgb="FF001F5F"/>
        <rFont val="Calibri"/>
        <family val="2"/>
      </rPr>
      <t>Poste primário - LV</t>
    </r>
  </si>
  <si>
    <r>
      <rPr>
        <sz val="11"/>
        <color rgb="FF001F5F"/>
        <rFont val="Calibri"/>
        <family val="2"/>
      </rPr>
      <t>16.28</t>
    </r>
  </si>
  <si>
    <r>
      <rPr>
        <sz val="11"/>
        <color rgb="FF001F5F"/>
        <rFont val="Calibri"/>
        <family val="2"/>
      </rPr>
      <t>Poste primário com equipamento - LV</t>
    </r>
  </si>
  <si>
    <r>
      <rPr>
        <sz val="11"/>
        <color rgb="FF001F5F"/>
        <rFont val="Calibri"/>
        <family val="2"/>
      </rPr>
      <t>Utilização de dispositivo de elevação</t>
    </r>
  </si>
  <si>
    <r>
      <rPr>
        <sz val="11"/>
        <color rgb="FF001F5F"/>
        <rFont val="Calibri"/>
        <family val="2"/>
      </rPr>
      <t>CAP. II</t>
    </r>
  </si>
  <si>
    <r>
      <rPr>
        <sz val="11"/>
        <color rgb="FF001F5F"/>
        <rFont val="Calibri"/>
        <family val="2"/>
      </rPr>
      <t>Mobilização  (LM/Equipes B2)</t>
    </r>
  </si>
  <si>
    <r>
      <rPr>
        <sz val="11"/>
        <color rgb="FF001F5F"/>
        <rFont val="Calibri"/>
        <family val="2"/>
      </rPr>
      <t>Mobilização  (LM/Equipes B3)</t>
    </r>
  </si>
  <si>
    <r>
      <rPr>
        <sz val="11"/>
        <color rgb="FF001F5F"/>
        <rFont val="Calibri"/>
        <family val="2"/>
      </rPr>
      <t>Mobilização  (LM/Equipes B4)</t>
    </r>
  </si>
  <si>
    <r>
      <rPr>
        <sz val="11"/>
        <color rgb="FF001F5F"/>
        <rFont val="Calibri"/>
        <family val="2"/>
      </rPr>
      <t>Mobilização (LM/Equipes B2 Rural)</t>
    </r>
  </si>
  <si>
    <r>
      <rPr>
        <sz val="11"/>
        <color rgb="FF001F5F"/>
        <rFont val="Calibri"/>
        <family val="2"/>
      </rPr>
      <t>Mobilização (LM/Equipes B3 Rural)</t>
    </r>
  </si>
  <si>
    <r>
      <rPr>
        <sz val="11"/>
        <color rgb="FF001F5F"/>
        <rFont val="Calibri"/>
        <family val="2"/>
      </rPr>
      <t>Mobilização (LM/Equipes B4 Rural)</t>
    </r>
  </si>
  <si>
    <r>
      <rPr>
        <sz val="11"/>
        <color rgb="FF001F5F"/>
        <rFont val="Calibri"/>
        <family val="2"/>
      </rPr>
      <t>Mobilização (LV/Equipes C)</t>
    </r>
  </si>
  <si>
    <r>
      <rPr>
        <sz val="11"/>
        <color rgb="FF001F5F"/>
        <rFont val="Calibri"/>
        <family val="2"/>
      </rPr>
      <t>Sobreaviso - Equipe B2</t>
    </r>
  </si>
  <si>
    <r>
      <rPr>
        <sz val="11"/>
        <color rgb="FF001F5F"/>
        <rFont val="Calibri"/>
        <family val="2"/>
      </rPr>
      <t>Sobreaviso - Equipe B3</t>
    </r>
  </si>
  <si>
    <r>
      <rPr>
        <sz val="11"/>
        <color rgb="FF001F5F"/>
        <rFont val="Calibri"/>
        <family val="2"/>
      </rPr>
      <t>Sobreaviso - Equipe B4</t>
    </r>
  </si>
  <si>
    <r>
      <rPr>
        <sz val="11"/>
        <color rgb="FF001F5F"/>
        <rFont val="Calibri"/>
        <family val="2"/>
      </rPr>
      <t>Sobreaviso - Equipe C1</t>
    </r>
  </si>
  <si>
    <r>
      <rPr>
        <sz val="11"/>
        <color rgb="FF001F5F"/>
        <rFont val="Calibri"/>
        <family val="2"/>
      </rPr>
      <t>Sobreaviso - Equipe C4</t>
    </r>
  </si>
  <si>
    <r>
      <rPr>
        <sz val="11"/>
        <color rgb="FF001F5F"/>
        <rFont val="Calibri"/>
        <family val="2"/>
      </rPr>
      <t>Equipe EMV – Utilização de Máquinas Equip. Veículos
Terceiros</t>
    </r>
  </si>
  <si>
    <r>
      <rPr>
        <sz val="11"/>
        <color rgb="FF001F5F"/>
        <rFont val="Calibri"/>
        <family val="2"/>
      </rPr>
      <t>Construção e Manutenção FA</t>
    </r>
  </si>
  <si>
    <t>Valor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</si>
</sst>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1F5F"/>
      <name val="Calibri"/>
      <family val="2"/>
    </font>
    <font>
      <sz val="11"/>
      <name val="Calibri"/>
      <family val="2"/>
    </font>
    <font>
      <sz val="11"/>
      <color rgb="FF001F5F"/>
      <name val="Calibri"/>
      <family val="2"/>
    </font>
    <font>
      <i/>
      <sz val="11"/>
      <color rgb="FF001F5F"/>
      <name val="Calibri"/>
      <family val="2"/>
    </font>
    <font>
      <sz val="11"/>
      <color rgb="FFC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0">
    <xf numFmtId="0" fontId="0" fillId="0" borderId="0" xfId="0"/>
    <xf numFmtId="0" fontId="3" fillId="0" borderId="4" xfId="0" applyFont="1" applyBorder="1" applyAlignment="1">
      <alignment horizontal="center" vertical="top"/>
    </xf>
    <xf numFmtId="164" fontId="4" fillId="0" borderId="4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/>
    </xf>
    <xf numFmtId="0" fontId="3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164" fontId="4" fillId="0" borderId="10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4" fontId="6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44" fontId="4" fillId="0" borderId="4" xfId="1" applyFont="1" applyBorder="1" applyAlignment="1">
      <alignment horizontal="center" vertical="top" shrinkToFit="1"/>
    </xf>
    <xf numFmtId="44" fontId="1" fillId="0" borderId="0" xfId="1" applyFont="1" applyAlignment="1">
      <alignment vertical="top"/>
    </xf>
    <xf numFmtId="44" fontId="0" fillId="0" borderId="0" xfId="1" applyFont="1" applyAlignment="1">
      <alignment horizontal="center"/>
    </xf>
    <xf numFmtId="44" fontId="0" fillId="0" borderId="0" xfId="1" applyFont="1"/>
    <xf numFmtId="0" fontId="1" fillId="0" borderId="0" xfId="0" applyFont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B79D-DAA5-40EF-849D-B687170B6A14}">
  <dimension ref="A1:L302"/>
  <sheetViews>
    <sheetView tabSelected="1" workbookViewId="0"/>
  </sheetViews>
  <sheetFormatPr defaultRowHeight="15" x14ac:dyDescent="0.25"/>
  <cols>
    <col min="1" max="1" width="7.85546875" style="23" customWidth="1"/>
    <col min="2" max="2" width="72.28515625" style="17" bestFit="1" customWidth="1"/>
    <col min="3" max="3" width="9.140625" style="23" bestFit="1" customWidth="1"/>
    <col min="4" max="4" width="11.7109375" bestFit="1" customWidth="1"/>
    <col min="5" max="5" width="13.28515625" bestFit="1" customWidth="1"/>
    <col min="6" max="6" width="20.42578125" bestFit="1" customWidth="1"/>
    <col min="7" max="7" width="13.42578125" style="45" bestFit="1" customWidth="1"/>
  </cols>
  <sheetData>
    <row r="1" spans="1:7" s="4" customFormat="1" ht="29.25" customHeight="1" x14ac:dyDescent="0.25">
      <c r="A1" s="2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36" t="s">
        <v>76</v>
      </c>
      <c r="G1" s="36" t="s">
        <v>335</v>
      </c>
    </row>
    <row r="2" spans="1:7" x14ac:dyDescent="0.25">
      <c r="A2" s="40" t="s">
        <v>5</v>
      </c>
      <c r="B2" s="40"/>
      <c r="C2" s="40"/>
      <c r="D2" s="40"/>
      <c r="E2" s="40"/>
      <c r="F2" s="40"/>
      <c r="G2" s="43"/>
    </row>
    <row r="3" spans="1:7" x14ac:dyDescent="0.25">
      <c r="A3" s="18" t="s">
        <v>6</v>
      </c>
      <c r="B3" s="11" t="s">
        <v>7</v>
      </c>
      <c r="C3" s="18" t="s">
        <v>8</v>
      </c>
      <c r="D3" s="1" t="s">
        <v>9</v>
      </c>
      <c r="E3" s="2">
        <v>0.17780000000000001</v>
      </c>
      <c r="F3" s="3">
        <v>3000400</v>
      </c>
      <c r="G3" s="42">
        <f>E3*222.67</f>
        <v>39.590726000000004</v>
      </c>
    </row>
    <row r="4" spans="1:7" x14ac:dyDescent="0.25">
      <c r="A4" s="18" t="s">
        <v>10</v>
      </c>
      <c r="B4" s="11" t="s">
        <v>11</v>
      </c>
      <c r="C4" s="18" t="s">
        <v>8</v>
      </c>
      <c r="D4" s="1" t="s">
        <v>9</v>
      </c>
      <c r="E4" s="2">
        <v>0.41660000000000003</v>
      </c>
      <c r="F4" s="3">
        <v>3000401</v>
      </c>
      <c r="G4" s="42">
        <f t="shared" ref="G4:G67" si="0">E4*222.67</f>
        <v>92.764322000000007</v>
      </c>
    </row>
    <row r="5" spans="1:7" x14ac:dyDescent="0.25">
      <c r="A5" s="18" t="s">
        <v>12</v>
      </c>
      <c r="B5" s="11" t="s">
        <v>13</v>
      </c>
      <c r="C5" s="18" t="s">
        <v>8</v>
      </c>
      <c r="D5" s="1" t="s">
        <v>9</v>
      </c>
      <c r="E5" s="2">
        <v>0.23300000000000001</v>
      </c>
      <c r="F5" s="3">
        <v>3000402</v>
      </c>
      <c r="G5" s="42">
        <f t="shared" si="0"/>
        <v>51.882109999999997</v>
      </c>
    </row>
    <row r="6" spans="1:7" x14ac:dyDescent="0.25">
      <c r="A6" s="18" t="s">
        <v>14</v>
      </c>
      <c r="B6" s="11" t="s">
        <v>15</v>
      </c>
      <c r="C6" s="18" t="s">
        <v>16</v>
      </c>
      <c r="D6" s="1" t="s">
        <v>9</v>
      </c>
      <c r="E6" s="2">
        <v>4.9500000000000002E-2</v>
      </c>
      <c r="F6" s="3">
        <v>3000403</v>
      </c>
      <c r="G6" s="42">
        <f t="shared" si="0"/>
        <v>11.022164999999999</v>
      </c>
    </row>
    <row r="7" spans="1:7" x14ac:dyDescent="0.25">
      <c r="A7" s="18" t="s">
        <v>17</v>
      </c>
      <c r="B7" s="11" t="s">
        <v>18</v>
      </c>
      <c r="C7" s="18" t="s">
        <v>16</v>
      </c>
      <c r="D7" s="1" t="s">
        <v>9</v>
      </c>
      <c r="E7" s="2">
        <v>2.3800000000000002E-2</v>
      </c>
      <c r="F7" s="3">
        <v>3000404</v>
      </c>
      <c r="G7" s="42">
        <f t="shared" si="0"/>
        <v>5.2995460000000003</v>
      </c>
    </row>
    <row r="8" spans="1:7" x14ac:dyDescent="0.25">
      <c r="A8" s="18" t="s">
        <v>19</v>
      </c>
      <c r="B8" s="11" t="s">
        <v>20</v>
      </c>
      <c r="C8" s="18" t="s">
        <v>16</v>
      </c>
      <c r="D8" s="1" t="s">
        <v>9</v>
      </c>
      <c r="E8" s="2">
        <v>3.85E-2</v>
      </c>
      <c r="F8" s="3">
        <v>3000405</v>
      </c>
      <c r="G8" s="42">
        <f t="shared" si="0"/>
        <v>8.5727949999999993</v>
      </c>
    </row>
    <row r="9" spans="1:7" x14ac:dyDescent="0.25">
      <c r="A9" s="18" t="s">
        <v>21</v>
      </c>
      <c r="B9" s="11" t="s">
        <v>20</v>
      </c>
      <c r="C9" s="18" t="s">
        <v>8</v>
      </c>
      <c r="D9" s="1" t="s">
        <v>9</v>
      </c>
      <c r="E9" s="2">
        <v>0.12709999999999999</v>
      </c>
      <c r="F9" s="3">
        <v>3000406</v>
      </c>
      <c r="G9" s="42">
        <f t="shared" si="0"/>
        <v>28.301356999999996</v>
      </c>
    </row>
    <row r="10" spans="1:7" x14ac:dyDescent="0.25">
      <c r="A10" s="40" t="s">
        <v>22</v>
      </c>
      <c r="B10" s="40"/>
      <c r="C10" s="40"/>
      <c r="D10" s="40"/>
      <c r="E10" s="40"/>
      <c r="F10" s="40"/>
      <c r="G10" s="42"/>
    </row>
    <row r="11" spans="1:7" x14ac:dyDescent="0.25">
      <c r="A11" s="18" t="s">
        <v>23</v>
      </c>
      <c r="B11" s="11" t="s">
        <v>24</v>
      </c>
      <c r="C11" s="18" t="s">
        <v>25</v>
      </c>
      <c r="D11" s="1" t="s">
        <v>9</v>
      </c>
      <c r="E11" s="2">
        <v>0.99170000000000003</v>
      </c>
      <c r="F11" s="3">
        <v>3000407</v>
      </c>
      <c r="G11" s="42">
        <f t="shared" si="0"/>
        <v>220.82183899999998</v>
      </c>
    </row>
    <row r="12" spans="1:7" x14ac:dyDescent="0.25">
      <c r="A12" s="18" t="s">
        <v>26</v>
      </c>
      <c r="B12" s="11" t="s">
        <v>27</v>
      </c>
      <c r="C12" s="18" t="s">
        <v>25</v>
      </c>
      <c r="D12" s="1" t="s">
        <v>9</v>
      </c>
      <c r="E12" s="2">
        <v>0.59499999999999997</v>
      </c>
      <c r="F12" s="3">
        <v>4000820</v>
      </c>
      <c r="G12" s="42">
        <f t="shared" si="0"/>
        <v>132.48864999999998</v>
      </c>
    </row>
    <row r="13" spans="1:7" x14ac:dyDescent="0.25">
      <c r="A13" s="18" t="s">
        <v>28</v>
      </c>
      <c r="B13" s="11" t="s">
        <v>29</v>
      </c>
      <c r="C13" s="18" t="s">
        <v>25</v>
      </c>
      <c r="D13" s="1" t="s">
        <v>9</v>
      </c>
      <c r="E13" s="2">
        <v>0.3967</v>
      </c>
      <c r="F13" s="3">
        <v>4000821</v>
      </c>
      <c r="G13" s="42">
        <f t="shared" si="0"/>
        <v>88.33318899999999</v>
      </c>
    </row>
    <row r="14" spans="1:7" x14ac:dyDescent="0.25">
      <c r="A14" s="18" t="s">
        <v>30</v>
      </c>
      <c r="B14" s="11" t="s">
        <v>31</v>
      </c>
      <c r="C14" s="18" t="s">
        <v>25</v>
      </c>
      <c r="D14" s="1" t="s">
        <v>9</v>
      </c>
      <c r="E14" s="2">
        <v>1.7468999999999999</v>
      </c>
      <c r="F14" s="3">
        <v>3000408</v>
      </c>
      <c r="G14" s="42">
        <f t="shared" si="0"/>
        <v>388.98222299999998</v>
      </c>
    </row>
    <row r="15" spans="1:7" x14ac:dyDescent="0.25">
      <c r="A15" s="18" t="s">
        <v>32</v>
      </c>
      <c r="B15" s="11" t="s">
        <v>33</v>
      </c>
      <c r="C15" s="18" t="s">
        <v>8</v>
      </c>
      <c r="D15" s="1" t="s">
        <v>9</v>
      </c>
      <c r="E15" s="2">
        <v>0.59499999999999997</v>
      </c>
      <c r="F15" s="3">
        <v>3000409</v>
      </c>
      <c r="G15" s="42">
        <f t="shared" si="0"/>
        <v>132.48864999999998</v>
      </c>
    </row>
    <row r="16" spans="1:7" x14ac:dyDescent="0.25">
      <c r="A16" s="40" t="s">
        <v>34</v>
      </c>
      <c r="B16" s="40"/>
      <c r="C16" s="40"/>
      <c r="D16" s="40"/>
      <c r="E16" s="40"/>
      <c r="F16" s="40"/>
      <c r="G16" s="42"/>
    </row>
    <row r="17" spans="1:7" x14ac:dyDescent="0.25">
      <c r="A17" s="37" t="s">
        <v>35</v>
      </c>
      <c r="B17" s="37" t="s">
        <v>36</v>
      </c>
      <c r="C17" s="37" t="s">
        <v>25</v>
      </c>
      <c r="D17" s="1" t="s">
        <v>9</v>
      </c>
      <c r="E17" s="2">
        <v>2.2233000000000001</v>
      </c>
      <c r="F17" s="3">
        <v>3000410</v>
      </c>
      <c r="G17" s="42">
        <f t="shared" si="0"/>
        <v>495.06221099999999</v>
      </c>
    </row>
    <row r="18" spans="1:7" x14ac:dyDescent="0.25">
      <c r="A18" s="38"/>
      <c r="B18" s="38"/>
      <c r="C18" s="38"/>
      <c r="D18" s="1" t="s">
        <v>37</v>
      </c>
      <c r="E18" s="2">
        <v>1.4292</v>
      </c>
      <c r="F18" s="3">
        <v>3000411</v>
      </c>
      <c r="G18" s="42">
        <f t="shared" si="0"/>
        <v>318.23996399999999</v>
      </c>
    </row>
    <row r="19" spans="1:7" x14ac:dyDescent="0.25">
      <c r="A19" s="38"/>
      <c r="B19" s="38"/>
      <c r="C19" s="38"/>
      <c r="D19" s="1" t="s">
        <v>38</v>
      </c>
      <c r="E19" s="2">
        <v>2.5409000000000002</v>
      </c>
      <c r="F19" s="3">
        <v>3000412</v>
      </c>
      <c r="G19" s="42">
        <f t="shared" si="0"/>
        <v>565.78220299999998</v>
      </c>
    </row>
    <row r="20" spans="1:7" x14ac:dyDescent="0.25">
      <c r="A20" s="39"/>
      <c r="B20" s="39"/>
      <c r="C20" s="39"/>
      <c r="D20" s="1" t="s">
        <v>39</v>
      </c>
      <c r="E20" s="2">
        <v>1.5881000000000001</v>
      </c>
      <c r="F20" s="3">
        <v>3000413</v>
      </c>
      <c r="G20" s="42">
        <f t="shared" si="0"/>
        <v>353.62222700000001</v>
      </c>
    </row>
    <row r="21" spans="1:7" x14ac:dyDescent="0.25">
      <c r="A21" s="37" t="s">
        <v>40</v>
      </c>
      <c r="B21" s="37" t="s">
        <v>41</v>
      </c>
      <c r="C21" s="37" t="s">
        <v>8</v>
      </c>
      <c r="D21" s="1" t="s">
        <v>9</v>
      </c>
      <c r="E21" s="2">
        <v>4.0860000000000003</v>
      </c>
      <c r="F21" s="3">
        <v>3000415</v>
      </c>
      <c r="G21" s="42">
        <f t="shared" si="0"/>
        <v>909.82961999999998</v>
      </c>
    </row>
    <row r="22" spans="1:7" x14ac:dyDescent="0.25">
      <c r="A22" s="38"/>
      <c r="B22" s="38"/>
      <c r="C22" s="38"/>
      <c r="D22" s="1" t="s">
        <v>37</v>
      </c>
      <c r="E22" s="2">
        <v>2.8090999999999999</v>
      </c>
      <c r="F22" s="3">
        <v>3000416</v>
      </c>
      <c r="G22" s="42">
        <f t="shared" si="0"/>
        <v>625.502297</v>
      </c>
    </row>
    <row r="23" spans="1:7" x14ac:dyDescent="0.25">
      <c r="A23" s="38"/>
      <c r="B23" s="38"/>
      <c r="C23" s="38"/>
      <c r="D23" s="1" t="s">
        <v>38</v>
      </c>
      <c r="E23" s="2">
        <v>4.5967000000000002</v>
      </c>
      <c r="F23" s="3">
        <v>3000417</v>
      </c>
      <c r="G23" s="42">
        <f t="shared" si="0"/>
        <v>1023.547189</v>
      </c>
    </row>
    <row r="24" spans="1:7" x14ac:dyDescent="0.25">
      <c r="A24" s="39"/>
      <c r="B24" s="39"/>
      <c r="C24" s="39"/>
      <c r="D24" s="1" t="s">
        <v>39</v>
      </c>
      <c r="E24" s="2">
        <v>3.5752000000000002</v>
      </c>
      <c r="F24" s="3">
        <v>3000418</v>
      </c>
      <c r="G24" s="42">
        <f t="shared" si="0"/>
        <v>796.08978400000001</v>
      </c>
    </row>
    <row r="25" spans="1:7" x14ac:dyDescent="0.25">
      <c r="A25" s="37" t="s">
        <v>42</v>
      </c>
      <c r="B25" s="37" t="s">
        <v>43</v>
      </c>
      <c r="C25" s="37" t="s">
        <v>8</v>
      </c>
      <c r="D25" s="1" t="s">
        <v>9</v>
      </c>
      <c r="E25" s="2">
        <v>5.1074999999999999</v>
      </c>
      <c r="F25" s="3">
        <v>3000419</v>
      </c>
      <c r="G25" s="42">
        <f t="shared" si="0"/>
        <v>1137.2870249999999</v>
      </c>
    </row>
    <row r="26" spans="1:7" x14ac:dyDescent="0.25">
      <c r="A26" s="38"/>
      <c r="B26" s="38"/>
      <c r="C26" s="38"/>
      <c r="D26" s="1" t="s">
        <v>37</v>
      </c>
      <c r="E26" s="2">
        <v>4.0860000000000003</v>
      </c>
      <c r="F26" s="3">
        <v>3000420</v>
      </c>
      <c r="G26" s="42">
        <f t="shared" si="0"/>
        <v>909.82961999999998</v>
      </c>
    </row>
    <row r="27" spans="1:7" x14ac:dyDescent="0.25">
      <c r="A27" s="38"/>
      <c r="B27" s="38"/>
      <c r="C27" s="38"/>
      <c r="D27" s="1" t="s">
        <v>38</v>
      </c>
      <c r="E27" s="2">
        <v>6.1289999999999996</v>
      </c>
      <c r="F27" s="3">
        <v>3000421</v>
      </c>
      <c r="G27" s="42">
        <f t="shared" si="0"/>
        <v>1364.7444299999997</v>
      </c>
    </row>
    <row r="28" spans="1:7" x14ac:dyDescent="0.25">
      <c r="A28" s="39"/>
      <c r="B28" s="39"/>
      <c r="C28" s="39"/>
      <c r="D28" s="1" t="s">
        <v>39</v>
      </c>
      <c r="E28" s="2">
        <v>3.5752000000000002</v>
      </c>
      <c r="F28" s="3">
        <v>3000422</v>
      </c>
      <c r="G28" s="42">
        <f t="shared" si="0"/>
        <v>796.08978400000001</v>
      </c>
    </row>
    <row r="29" spans="1:7" x14ac:dyDescent="0.25">
      <c r="A29" s="37" t="s">
        <v>44</v>
      </c>
      <c r="B29" s="37" t="s">
        <v>45</v>
      </c>
      <c r="C29" s="37" t="s">
        <v>8</v>
      </c>
      <c r="D29" s="1" t="s">
        <v>9</v>
      </c>
      <c r="E29" s="2">
        <v>1.0164</v>
      </c>
      <c r="F29" s="3">
        <v>4000320</v>
      </c>
      <c r="G29" s="42">
        <f t="shared" si="0"/>
        <v>226.32178799999997</v>
      </c>
    </row>
    <row r="30" spans="1:7" x14ac:dyDescent="0.25">
      <c r="A30" s="38"/>
      <c r="B30" s="38"/>
      <c r="C30" s="38"/>
      <c r="D30" s="1" t="s">
        <v>37</v>
      </c>
      <c r="E30" s="2">
        <v>0.59740000000000004</v>
      </c>
      <c r="F30" s="3">
        <v>4001030</v>
      </c>
      <c r="G30" s="42">
        <f t="shared" si="0"/>
        <v>133.02305799999999</v>
      </c>
    </row>
    <row r="31" spans="1:7" x14ac:dyDescent="0.25">
      <c r="A31" s="38"/>
      <c r="B31" s="38"/>
      <c r="C31" s="38"/>
      <c r="D31" s="1" t="s">
        <v>38</v>
      </c>
      <c r="E31" s="2">
        <v>1.2704</v>
      </c>
      <c r="F31" s="3">
        <v>3000423</v>
      </c>
      <c r="G31" s="42">
        <f t="shared" si="0"/>
        <v>282.87996799999996</v>
      </c>
    </row>
    <row r="32" spans="1:7" x14ac:dyDescent="0.25">
      <c r="A32" s="39"/>
      <c r="B32" s="39"/>
      <c r="C32" s="39"/>
      <c r="D32" s="1" t="s">
        <v>39</v>
      </c>
      <c r="E32" s="2">
        <v>0.8851</v>
      </c>
      <c r="F32" s="3">
        <v>4001031</v>
      </c>
      <c r="G32" s="42">
        <f t="shared" si="0"/>
        <v>197.085217</v>
      </c>
    </row>
    <row r="33" spans="1:7" x14ac:dyDescent="0.25">
      <c r="A33" s="37" t="s">
        <v>46</v>
      </c>
      <c r="B33" s="37" t="s">
        <v>47</v>
      </c>
      <c r="C33" s="37" t="s">
        <v>8</v>
      </c>
      <c r="D33" s="1" t="s">
        <v>9</v>
      </c>
      <c r="E33" s="2">
        <v>0.88929999999999998</v>
      </c>
      <c r="F33" s="3">
        <v>3000659</v>
      </c>
      <c r="G33" s="42">
        <f t="shared" si="0"/>
        <v>198.02043099999997</v>
      </c>
    </row>
    <row r="34" spans="1:7" x14ac:dyDescent="0.25">
      <c r="A34" s="38"/>
      <c r="B34" s="38"/>
      <c r="C34" s="38"/>
      <c r="D34" s="1" t="s">
        <v>37</v>
      </c>
      <c r="E34" s="2">
        <v>0.52270000000000005</v>
      </c>
      <c r="F34" s="3">
        <v>4001032</v>
      </c>
      <c r="G34" s="42">
        <f t="shared" si="0"/>
        <v>116.38960900000001</v>
      </c>
    </row>
    <row r="35" spans="1:7" x14ac:dyDescent="0.25">
      <c r="A35" s="38"/>
      <c r="B35" s="38"/>
      <c r="C35" s="38"/>
      <c r="D35" s="1" t="s">
        <v>38</v>
      </c>
      <c r="E35" s="2">
        <v>1.1115999999999999</v>
      </c>
      <c r="F35" s="3">
        <v>3000424</v>
      </c>
      <c r="G35" s="42">
        <f t="shared" si="0"/>
        <v>247.51997199999997</v>
      </c>
    </row>
    <row r="36" spans="1:7" x14ac:dyDescent="0.25">
      <c r="A36" s="39"/>
      <c r="B36" s="39"/>
      <c r="C36" s="39"/>
      <c r="D36" s="1" t="s">
        <v>39</v>
      </c>
      <c r="E36" s="2">
        <v>0.77439999999999998</v>
      </c>
      <c r="F36" s="3">
        <v>4001033</v>
      </c>
      <c r="G36" s="42">
        <f t="shared" si="0"/>
        <v>172.43564799999999</v>
      </c>
    </row>
    <row r="37" spans="1:7" x14ac:dyDescent="0.25">
      <c r="A37" s="37" t="s">
        <v>48</v>
      </c>
      <c r="B37" s="37" t="s">
        <v>49</v>
      </c>
      <c r="C37" s="37" t="s">
        <v>25</v>
      </c>
      <c r="D37" s="1" t="s">
        <v>9</v>
      </c>
      <c r="E37" s="2">
        <v>0.66700000000000004</v>
      </c>
      <c r="F37" s="3">
        <v>3000640</v>
      </c>
      <c r="G37" s="42">
        <f t="shared" si="0"/>
        <v>148.52089000000001</v>
      </c>
    </row>
    <row r="38" spans="1:7" x14ac:dyDescent="0.25">
      <c r="A38" s="38"/>
      <c r="B38" s="38"/>
      <c r="C38" s="38"/>
      <c r="D38" s="1" t="s">
        <v>37</v>
      </c>
      <c r="E38" s="2">
        <v>0.42880000000000001</v>
      </c>
      <c r="F38" s="3">
        <v>3000641</v>
      </c>
      <c r="G38" s="42">
        <f t="shared" si="0"/>
        <v>95.480896000000001</v>
      </c>
    </row>
    <row r="39" spans="1:7" x14ac:dyDescent="0.25">
      <c r="A39" s="38"/>
      <c r="B39" s="38"/>
      <c r="C39" s="38"/>
      <c r="D39" s="1" t="s">
        <v>38</v>
      </c>
      <c r="E39" s="2">
        <v>0.76229999999999998</v>
      </c>
      <c r="F39" s="3">
        <v>3000642</v>
      </c>
      <c r="G39" s="42">
        <f t="shared" si="0"/>
        <v>169.74134099999998</v>
      </c>
    </row>
    <row r="40" spans="1:7" x14ac:dyDescent="0.25">
      <c r="A40" s="39"/>
      <c r="B40" s="39"/>
      <c r="C40" s="39"/>
      <c r="D40" s="1" t="s">
        <v>39</v>
      </c>
      <c r="E40" s="2">
        <v>0.63519999999999999</v>
      </c>
      <c r="F40" s="3">
        <v>3000643</v>
      </c>
      <c r="G40" s="42">
        <f t="shared" si="0"/>
        <v>141.43998399999998</v>
      </c>
    </row>
    <row r="41" spans="1:7" x14ac:dyDescent="0.25">
      <c r="A41" s="40" t="s">
        <v>50</v>
      </c>
      <c r="B41" s="40"/>
      <c r="C41" s="40"/>
      <c r="D41" s="40"/>
      <c r="E41" s="40"/>
      <c r="F41" s="40"/>
      <c r="G41" s="42"/>
    </row>
    <row r="42" spans="1:7" x14ac:dyDescent="0.25">
      <c r="A42" s="37" t="s">
        <v>51</v>
      </c>
      <c r="B42" s="37" t="s">
        <v>52</v>
      </c>
      <c r="C42" s="37" t="s">
        <v>53</v>
      </c>
      <c r="D42" s="1" t="s">
        <v>9</v>
      </c>
      <c r="E42" s="2">
        <v>1.21E-2</v>
      </c>
      <c r="F42" s="3">
        <v>3000425</v>
      </c>
      <c r="G42" s="42">
        <f t="shared" si="0"/>
        <v>2.6943069999999998</v>
      </c>
    </row>
    <row r="43" spans="1:7" x14ac:dyDescent="0.25">
      <c r="A43" s="38"/>
      <c r="B43" s="38"/>
      <c r="C43" s="38"/>
      <c r="D43" s="1" t="s">
        <v>37</v>
      </c>
      <c r="E43" s="2">
        <v>5.3E-3</v>
      </c>
      <c r="F43" s="3">
        <v>3000426</v>
      </c>
      <c r="G43" s="42">
        <f t="shared" si="0"/>
        <v>1.180151</v>
      </c>
    </row>
    <row r="44" spans="1:7" x14ac:dyDescent="0.25">
      <c r="A44" s="38"/>
      <c r="B44" s="38"/>
      <c r="C44" s="38"/>
      <c r="D44" s="1" t="s">
        <v>38</v>
      </c>
      <c r="E44" s="2">
        <v>1.23E-2</v>
      </c>
      <c r="F44" s="3">
        <v>3000427</v>
      </c>
      <c r="G44" s="42">
        <f t="shared" si="0"/>
        <v>2.7388409999999999</v>
      </c>
    </row>
    <row r="45" spans="1:7" x14ac:dyDescent="0.25">
      <c r="A45" s="39"/>
      <c r="B45" s="39"/>
      <c r="C45" s="39"/>
      <c r="D45" s="1" t="s">
        <v>39</v>
      </c>
      <c r="E45" s="2">
        <v>5.7999999999999996E-3</v>
      </c>
      <c r="F45" s="3">
        <v>3000428</v>
      </c>
      <c r="G45" s="42">
        <f t="shared" si="0"/>
        <v>1.2914859999999999</v>
      </c>
    </row>
    <row r="46" spans="1:7" x14ac:dyDescent="0.25">
      <c r="A46" s="18" t="s">
        <v>54</v>
      </c>
      <c r="B46" s="11" t="s">
        <v>55</v>
      </c>
      <c r="C46" s="18" t="s">
        <v>8</v>
      </c>
      <c r="D46" s="1" t="s">
        <v>9</v>
      </c>
      <c r="E46" s="2">
        <v>0.31759999999999999</v>
      </c>
      <c r="F46" s="3">
        <v>3000429</v>
      </c>
      <c r="G46" s="42">
        <f t="shared" si="0"/>
        <v>70.719991999999991</v>
      </c>
    </row>
    <row r="47" spans="1:7" x14ac:dyDescent="0.25">
      <c r="A47" s="18" t="s">
        <v>56</v>
      </c>
      <c r="B47" s="11" t="s">
        <v>57</v>
      </c>
      <c r="C47" s="18" t="s">
        <v>8</v>
      </c>
      <c r="D47" s="1" t="s">
        <v>9</v>
      </c>
      <c r="E47" s="2">
        <v>0.1588</v>
      </c>
      <c r="F47" s="3">
        <v>3000430</v>
      </c>
      <c r="G47" s="42">
        <f t="shared" si="0"/>
        <v>35.359995999999995</v>
      </c>
    </row>
    <row r="48" spans="1:7" x14ac:dyDescent="0.25">
      <c r="A48" s="37" t="s">
        <v>58</v>
      </c>
      <c r="B48" s="37" t="s">
        <v>59</v>
      </c>
      <c r="C48" s="37" t="s">
        <v>8</v>
      </c>
      <c r="D48" s="1" t="s">
        <v>9</v>
      </c>
      <c r="E48" s="2">
        <v>0.19059999999999999</v>
      </c>
      <c r="F48" s="3">
        <v>3000431</v>
      </c>
      <c r="G48" s="42">
        <f t="shared" si="0"/>
        <v>42.440901999999994</v>
      </c>
    </row>
    <row r="49" spans="1:7" x14ac:dyDescent="0.25">
      <c r="A49" s="38"/>
      <c r="B49" s="38"/>
      <c r="C49" s="38"/>
      <c r="D49" s="1" t="s">
        <v>37</v>
      </c>
      <c r="E49" s="2">
        <v>0.127</v>
      </c>
      <c r="F49" s="3">
        <v>3000432</v>
      </c>
      <c r="G49" s="42">
        <f t="shared" si="0"/>
        <v>28.27909</v>
      </c>
    </row>
    <row r="50" spans="1:7" x14ac:dyDescent="0.25">
      <c r="A50" s="39"/>
      <c r="B50" s="39"/>
      <c r="C50" s="39"/>
      <c r="D50" s="1" t="s">
        <v>38</v>
      </c>
      <c r="E50" s="2">
        <v>0.25409999999999999</v>
      </c>
      <c r="F50" s="3">
        <v>3000433</v>
      </c>
      <c r="G50" s="42">
        <f t="shared" si="0"/>
        <v>56.580446999999992</v>
      </c>
    </row>
    <row r="51" spans="1:7" x14ac:dyDescent="0.25">
      <c r="A51" s="18" t="s">
        <v>60</v>
      </c>
      <c r="B51" s="11" t="s">
        <v>61</v>
      </c>
      <c r="C51" s="18" t="s">
        <v>25</v>
      </c>
      <c r="D51" s="1" t="s">
        <v>9</v>
      </c>
      <c r="E51" s="2">
        <v>0.38109999999999999</v>
      </c>
      <c r="F51" s="3">
        <v>3000434</v>
      </c>
      <c r="G51" s="42">
        <f t="shared" si="0"/>
        <v>84.859536999999989</v>
      </c>
    </row>
    <row r="52" spans="1:7" x14ac:dyDescent="0.25">
      <c r="A52" s="18" t="s">
        <v>62</v>
      </c>
      <c r="B52" s="11" t="s">
        <v>63</v>
      </c>
      <c r="C52" s="18" t="s">
        <v>8</v>
      </c>
      <c r="D52" s="1" t="s">
        <v>9</v>
      </c>
      <c r="E52" s="2">
        <v>0.2223</v>
      </c>
      <c r="F52" s="3">
        <v>3000435</v>
      </c>
      <c r="G52" s="42">
        <f t="shared" si="0"/>
        <v>49.499540999999994</v>
      </c>
    </row>
    <row r="53" spans="1:7" x14ac:dyDescent="0.25">
      <c r="A53" s="18" t="s">
        <v>64</v>
      </c>
      <c r="B53" s="11" t="s">
        <v>65</v>
      </c>
      <c r="C53" s="18" t="s">
        <v>8</v>
      </c>
      <c r="D53" s="1" t="s">
        <v>9</v>
      </c>
      <c r="E53" s="2">
        <v>0.1588</v>
      </c>
      <c r="F53" s="3">
        <v>3000436</v>
      </c>
      <c r="G53" s="42">
        <f t="shared" si="0"/>
        <v>35.359995999999995</v>
      </c>
    </row>
    <row r="54" spans="1:7" x14ac:dyDescent="0.25">
      <c r="A54" s="37" t="s">
        <v>66</v>
      </c>
      <c r="B54" s="37" t="s">
        <v>67</v>
      </c>
      <c r="C54" s="37" t="s">
        <v>8</v>
      </c>
      <c r="D54" s="1" t="s">
        <v>9</v>
      </c>
      <c r="E54" s="2">
        <v>0.57169999999999999</v>
      </c>
      <c r="F54" s="3">
        <v>3000437</v>
      </c>
      <c r="G54" s="42">
        <f t="shared" si="0"/>
        <v>127.30043899999998</v>
      </c>
    </row>
    <row r="55" spans="1:7" x14ac:dyDescent="0.25">
      <c r="A55" s="38"/>
      <c r="B55" s="38"/>
      <c r="C55" s="38"/>
      <c r="D55" s="1" t="s">
        <v>37</v>
      </c>
      <c r="E55" s="2">
        <v>0.4582</v>
      </c>
      <c r="F55" s="3">
        <v>4001034</v>
      </c>
      <c r="G55" s="42">
        <f t="shared" si="0"/>
        <v>102.02739399999999</v>
      </c>
    </row>
    <row r="56" spans="1:7" x14ac:dyDescent="0.25">
      <c r="A56" s="39"/>
      <c r="B56" s="39"/>
      <c r="C56" s="39"/>
      <c r="D56" s="1" t="s">
        <v>38</v>
      </c>
      <c r="E56" s="2">
        <v>0.69869999999999999</v>
      </c>
      <c r="F56" s="3">
        <v>3000438</v>
      </c>
      <c r="G56" s="42">
        <f t="shared" si="0"/>
        <v>155.57952899999998</v>
      </c>
    </row>
    <row r="57" spans="1:7" x14ac:dyDescent="0.25">
      <c r="A57" s="37" t="s">
        <v>68</v>
      </c>
      <c r="B57" s="37" t="s">
        <v>69</v>
      </c>
      <c r="C57" s="37" t="s">
        <v>8</v>
      </c>
      <c r="D57" s="1" t="s">
        <v>9</v>
      </c>
      <c r="E57" s="2">
        <v>0.25409999999999999</v>
      </c>
      <c r="F57" s="3">
        <v>3000439</v>
      </c>
      <c r="G57" s="42">
        <f t="shared" si="0"/>
        <v>56.580446999999992</v>
      </c>
    </row>
    <row r="58" spans="1:7" x14ac:dyDescent="0.25">
      <c r="A58" s="38"/>
      <c r="B58" s="38"/>
      <c r="C58" s="38"/>
      <c r="D58" s="1" t="s">
        <v>37</v>
      </c>
      <c r="E58" s="2">
        <v>0.22120000000000001</v>
      </c>
      <c r="F58" s="3">
        <v>4001035</v>
      </c>
      <c r="G58" s="42">
        <f t="shared" si="0"/>
        <v>49.254604</v>
      </c>
    </row>
    <row r="59" spans="1:7" x14ac:dyDescent="0.25">
      <c r="A59" s="38"/>
      <c r="B59" s="38"/>
      <c r="C59" s="38"/>
      <c r="D59" s="1" t="s">
        <v>38</v>
      </c>
      <c r="E59" s="2">
        <v>0.2858</v>
      </c>
      <c r="F59" s="3">
        <v>3000440</v>
      </c>
      <c r="G59" s="42">
        <f t="shared" si="0"/>
        <v>63.639085999999999</v>
      </c>
    </row>
    <row r="60" spans="1:7" x14ac:dyDescent="0.25">
      <c r="A60" s="39"/>
      <c r="B60" s="39"/>
      <c r="C60" s="39"/>
      <c r="D60" s="1" t="s">
        <v>39</v>
      </c>
      <c r="E60" s="2">
        <v>0.2581</v>
      </c>
      <c r="F60" s="3">
        <v>4001036</v>
      </c>
      <c r="G60" s="42">
        <f t="shared" si="0"/>
        <v>57.471126999999996</v>
      </c>
    </row>
    <row r="61" spans="1:7" x14ac:dyDescent="0.25">
      <c r="A61" s="37" t="s">
        <v>70</v>
      </c>
      <c r="B61" s="37" t="s">
        <v>71</v>
      </c>
      <c r="C61" s="37" t="s">
        <v>8</v>
      </c>
      <c r="D61" s="1" t="s">
        <v>9</v>
      </c>
      <c r="E61" s="2">
        <v>0.2223</v>
      </c>
      <c r="F61" s="3">
        <v>3000441</v>
      </c>
      <c r="G61" s="42">
        <f t="shared" si="0"/>
        <v>49.499540999999994</v>
      </c>
    </row>
    <row r="62" spans="1:7" x14ac:dyDescent="0.25">
      <c r="A62" s="38"/>
      <c r="B62" s="38"/>
      <c r="C62" s="38"/>
      <c r="D62" s="1" t="s">
        <v>37</v>
      </c>
      <c r="E62" s="2">
        <v>0.19059999999999999</v>
      </c>
      <c r="F62" s="3">
        <v>3000442</v>
      </c>
      <c r="G62" s="42">
        <f t="shared" si="0"/>
        <v>42.440901999999994</v>
      </c>
    </row>
    <row r="63" spans="1:7" x14ac:dyDescent="0.25">
      <c r="A63" s="38"/>
      <c r="B63" s="38"/>
      <c r="C63" s="38"/>
      <c r="D63" s="1" t="s">
        <v>38</v>
      </c>
      <c r="E63" s="2">
        <v>0.25409999999999999</v>
      </c>
      <c r="F63" s="3">
        <v>3000443</v>
      </c>
      <c r="G63" s="42">
        <f t="shared" si="0"/>
        <v>56.580446999999992</v>
      </c>
    </row>
    <row r="64" spans="1:7" x14ac:dyDescent="0.25">
      <c r="A64" s="39"/>
      <c r="B64" s="39"/>
      <c r="C64" s="39"/>
      <c r="D64" s="1" t="s">
        <v>39</v>
      </c>
      <c r="E64" s="2">
        <v>0.2223</v>
      </c>
      <c r="F64" s="3">
        <v>3000444</v>
      </c>
      <c r="G64" s="42">
        <f t="shared" si="0"/>
        <v>49.499540999999994</v>
      </c>
    </row>
    <row r="65" spans="1:7" x14ac:dyDescent="0.25">
      <c r="A65" s="18" t="s">
        <v>72</v>
      </c>
      <c r="B65" s="11" t="s">
        <v>73</v>
      </c>
      <c r="C65" s="18" t="s">
        <v>25</v>
      </c>
      <c r="D65" s="1" t="s">
        <v>37</v>
      </c>
      <c r="E65" s="2">
        <v>0.19059999999999999</v>
      </c>
      <c r="F65" s="3">
        <v>3000445</v>
      </c>
      <c r="G65" s="42">
        <f t="shared" si="0"/>
        <v>42.440901999999994</v>
      </c>
    </row>
    <row r="66" spans="1:7" x14ac:dyDescent="0.25">
      <c r="A66" s="18" t="s">
        <v>74</v>
      </c>
      <c r="B66" s="11" t="s">
        <v>75</v>
      </c>
      <c r="C66" s="18" t="s">
        <v>25</v>
      </c>
      <c r="D66" s="1" t="s">
        <v>9</v>
      </c>
      <c r="E66" s="2">
        <v>0.66700000000000004</v>
      </c>
      <c r="F66" s="3">
        <v>3000644</v>
      </c>
      <c r="G66" s="42">
        <f t="shared" si="0"/>
        <v>148.52089000000001</v>
      </c>
    </row>
    <row r="67" spans="1:7" x14ac:dyDescent="0.25">
      <c r="A67" s="40" t="s">
        <v>77</v>
      </c>
      <c r="B67" s="40"/>
      <c r="C67" s="40"/>
      <c r="D67" s="40"/>
      <c r="E67" s="40"/>
      <c r="F67" s="40"/>
      <c r="G67" s="42"/>
    </row>
    <row r="68" spans="1:7" x14ac:dyDescent="0.25">
      <c r="A68" s="37" t="s">
        <v>78</v>
      </c>
      <c r="B68" s="37" t="s">
        <v>79</v>
      </c>
      <c r="C68" s="37" t="s">
        <v>25</v>
      </c>
      <c r="D68" s="1" t="s">
        <v>9</v>
      </c>
      <c r="E68" s="2">
        <v>12.7013</v>
      </c>
      <c r="F68" s="3">
        <v>3000446</v>
      </c>
      <c r="G68" s="42">
        <f t="shared" ref="G68:G131" si="1">E68*222.67</f>
        <v>2828.1984709999997</v>
      </c>
    </row>
    <row r="69" spans="1:7" x14ac:dyDescent="0.25">
      <c r="A69" s="38"/>
      <c r="B69" s="38"/>
      <c r="C69" s="38"/>
      <c r="D69" s="1" t="s">
        <v>37</v>
      </c>
      <c r="E69" s="2">
        <v>7.0563000000000002</v>
      </c>
      <c r="F69" s="3">
        <v>3000447</v>
      </c>
      <c r="G69" s="42">
        <f t="shared" si="1"/>
        <v>1571.2263209999999</v>
      </c>
    </row>
    <row r="70" spans="1:7" x14ac:dyDescent="0.25">
      <c r="A70" s="39"/>
      <c r="B70" s="39"/>
      <c r="C70" s="39"/>
      <c r="D70" s="1" t="s">
        <v>39</v>
      </c>
      <c r="E70" s="2">
        <v>7.7618999999999998</v>
      </c>
      <c r="F70" s="3">
        <v>3000448</v>
      </c>
      <c r="G70" s="42">
        <f t="shared" si="1"/>
        <v>1728.3422729999998</v>
      </c>
    </row>
    <row r="71" spans="1:7" x14ac:dyDescent="0.25">
      <c r="A71" s="37" t="s">
        <v>80</v>
      </c>
      <c r="B71" s="37" t="s">
        <v>81</v>
      </c>
      <c r="C71" s="37" t="s">
        <v>25</v>
      </c>
      <c r="D71" s="1" t="s">
        <v>9</v>
      </c>
      <c r="E71" s="2">
        <v>10.0025</v>
      </c>
      <c r="F71" s="3">
        <v>3000455</v>
      </c>
      <c r="G71" s="42">
        <f t="shared" si="1"/>
        <v>2227.2566749999996</v>
      </c>
    </row>
    <row r="72" spans="1:7" x14ac:dyDescent="0.25">
      <c r="A72" s="38"/>
      <c r="B72" s="38"/>
      <c r="C72" s="38"/>
      <c r="D72" s="1" t="s">
        <v>37</v>
      </c>
      <c r="E72" s="2">
        <v>4.0860000000000003</v>
      </c>
      <c r="F72" s="3">
        <v>3000456</v>
      </c>
      <c r="G72" s="42">
        <f t="shared" si="1"/>
        <v>909.82961999999998</v>
      </c>
    </row>
    <row r="73" spans="1:7" x14ac:dyDescent="0.25">
      <c r="A73" s="38"/>
      <c r="B73" s="38"/>
      <c r="C73" s="38"/>
      <c r="D73" s="1" t="s">
        <v>38</v>
      </c>
      <c r="E73" s="2">
        <v>11.270799999999999</v>
      </c>
      <c r="F73" s="3">
        <v>4001037</v>
      </c>
      <c r="G73" s="42">
        <f t="shared" si="1"/>
        <v>2509.6690359999998</v>
      </c>
    </row>
    <row r="74" spans="1:7" x14ac:dyDescent="0.25">
      <c r="A74" s="39"/>
      <c r="B74" s="39"/>
      <c r="C74" s="39"/>
      <c r="D74" s="1" t="s">
        <v>39</v>
      </c>
      <c r="E74" s="2">
        <v>3.6774</v>
      </c>
      <c r="F74" s="3">
        <v>3000457</v>
      </c>
      <c r="G74" s="42">
        <f t="shared" si="1"/>
        <v>818.84665799999993</v>
      </c>
    </row>
    <row r="75" spans="1:7" x14ac:dyDescent="0.25">
      <c r="A75" s="18" t="s">
        <v>82</v>
      </c>
      <c r="B75" s="11" t="s">
        <v>83</v>
      </c>
      <c r="C75" s="18" t="s">
        <v>8</v>
      </c>
      <c r="D75" s="1" t="s">
        <v>38</v>
      </c>
      <c r="E75" s="2">
        <v>2.5537000000000001</v>
      </c>
      <c r="F75" s="3">
        <v>3000458</v>
      </c>
      <c r="G75" s="42">
        <f t="shared" si="1"/>
        <v>568.63237900000001</v>
      </c>
    </row>
    <row r="76" spans="1:7" x14ac:dyDescent="0.25">
      <c r="A76" s="37" t="s">
        <v>84</v>
      </c>
      <c r="B76" s="37" t="s">
        <v>85</v>
      </c>
      <c r="C76" s="37" t="s">
        <v>25</v>
      </c>
      <c r="D76" s="1" t="s">
        <v>9</v>
      </c>
      <c r="E76" s="2">
        <v>4.4250999999999996</v>
      </c>
      <c r="F76" s="3">
        <v>4000710</v>
      </c>
      <c r="G76" s="42">
        <f t="shared" si="1"/>
        <v>985.33701699999983</v>
      </c>
    </row>
    <row r="77" spans="1:7" x14ac:dyDescent="0.25">
      <c r="A77" s="38"/>
      <c r="B77" s="38"/>
      <c r="C77" s="38"/>
      <c r="D77" s="1" t="s">
        <v>37</v>
      </c>
      <c r="E77" s="2">
        <v>4.0278</v>
      </c>
      <c r="F77" s="3">
        <v>4000711</v>
      </c>
      <c r="G77" s="42">
        <f t="shared" si="1"/>
        <v>896.870226</v>
      </c>
    </row>
    <row r="78" spans="1:7" x14ac:dyDescent="0.25">
      <c r="A78" s="38"/>
      <c r="B78" s="38"/>
      <c r="C78" s="38"/>
      <c r="D78" s="1" t="s">
        <v>38</v>
      </c>
      <c r="E78" s="2">
        <v>5.101</v>
      </c>
      <c r="F78" s="3">
        <v>4000723</v>
      </c>
      <c r="G78" s="42">
        <f t="shared" si="1"/>
        <v>1135.8396699999998</v>
      </c>
    </row>
    <row r="79" spans="1:7" x14ac:dyDescent="0.25">
      <c r="A79" s="39"/>
      <c r="B79" s="39"/>
      <c r="C79" s="39"/>
      <c r="D79" s="1" t="s">
        <v>39</v>
      </c>
      <c r="E79" s="2">
        <v>3.8056000000000001</v>
      </c>
      <c r="F79" s="3">
        <v>4000822</v>
      </c>
      <c r="G79" s="42">
        <f t="shared" si="1"/>
        <v>847.39295199999992</v>
      </c>
    </row>
    <row r="80" spans="1:7" x14ac:dyDescent="0.25">
      <c r="A80" s="37" t="s">
        <v>86</v>
      </c>
      <c r="B80" s="37" t="s">
        <v>87</v>
      </c>
      <c r="C80" s="37" t="s">
        <v>8</v>
      </c>
      <c r="D80" s="1" t="s">
        <v>9</v>
      </c>
      <c r="E80" s="2">
        <v>1.0908</v>
      </c>
      <c r="F80" s="3">
        <v>4000630</v>
      </c>
      <c r="G80" s="42">
        <f t="shared" si="1"/>
        <v>242.88843599999998</v>
      </c>
    </row>
    <row r="81" spans="1:7" x14ac:dyDescent="0.25">
      <c r="A81" s="38"/>
      <c r="B81" s="38"/>
      <c r="C81" s="38"/>
      <c r="D81" s="1" t="s">
        <v>37</v>
      </c>
      <c r="E81" s="2">
        <v>0.64059999999999995</v>
      </c>
      <c r="F81" s="3">
        <v>4000631</v>
      </c>
      <c r="G81" s="42">
        <f t="shared" si="1"/>
        <v>142.64240199999998</v>
      </c>
    </row>
    <row r="82" spans="1:7" x14ac:dyDescent="0.25">
      <c r="A82" s="39"/>
      <c r="B82" s="39"/>
      <c r="C82" s="39"/>
      <c r="D82" s="1" t="s">
        <v>38</v>
      </c>
      <c r="E82" s="2">
        <v>1.7182999999999999</v>
      </c>
      <c r="F82" s="3">
        <v>4000632</v>
      </c>
      <c r="G82" s="42">
        <f t="shared" si="1"/>
        <v>382.61386099999999</v>
      </c>
    </row>
    <row r="83" spans="1:7" x14ac:dyDescent="0.25">
      <c r="A83" s="37" t="s">
        <v>88</v>
      </c>
      <c r="B83" s="37" t="s">
        <v>89</v>
      </c>
      <c r="C83" s="37" t="s">
        <v>25</v>
      </c>
      <c r="D83" s="1" t="s">
        <v>9</v>
      </c>
      <c r="E83" s="2">
        <v>0.99170000000000003</v>
      </c>
      <c r="F83" s="3">
        <v>4000823</v>
      </c>
      <c r="G83" s="42">
        <f t="shared" si="1"/>
        <v>220.82183899999998</v>
      </c>
    </row>
    <row r="84" spans="1:7" x14ac:dyDescent="0.25">
      <c r="A84" s="38"/>
      <c r="B84" s="38"/>
      <c r="C84" s="38"/>
      <c r="D84" s="1" t="s">
        <v>37</v>
      </c>
      <c r="E84" s="2">
        <v>0.58240000000000003</v>
      </c>
      <c r="F84" s="3">
        <v>4000824</v>
      </c>
      <c r="G84" s="42">
        <f t="shared" si="1"/>
        <v>129.683008</v>
      </c>
    </row>
    <row r="85" spans="1:7" x14ac:dyDescent="0.25">
      <c r="A85" s="38"/>
      <c r="B85" s="38"/>
      <c r="C85" s="38"/>
      <c r="D85" s="1" t="s">
        <v>38</v>
      </c>
      <c r="E85" s="2">
        <v>1.5622</v>
      </c>
      <c r="F85" s="3">
        <v>4000825</v>
      </c>
      <c r="G85" s="42">
        <f t="shared" si="1"/>
        <v>347.855074</v>
      </c>
    </row>
    <row r="86" spans="1:7" x14ac:dyDescent="0.25">
      <c r="A86" s="39"/>
      <c r="B86" s="39"/>
      <c r="C86" s="39"/>
      <c r="D86" s="1" t="s">
        <v>39</v>
      </c>
      <c r="E86" s="2">
        <v>0.85289999999999999</v>
      </c>
      <c r="F86" s="3">
        <v>4000826</v>
      </c>
      <c r="G86" s="42">
        <f t="shared" si="1"/>
        <v>189.91524299999998</v>
      </c>
    </row>
    <row r="87" spans="1:7" x14ac:dyDescent="0.25">
      <c r="A87" s="40" t="s">
        <v>90</v>
      </c>
      <c r="B87" s="40"/>
      <c r="C87" s="40"/>
      <c r="D87" s="40"/>
      <c r="E87" s="40"/>
      <c r="F87" s="40"/>
      <c r="G87" s="42"/>
    </row>
    <row r="88" spans="1:7" x14ac:dyDescent="0.25">
      <c r="A88" s="37" t="s">
        <v>91</v>
      </c>
      <c r="B88" s="37" t="s">
        <v>92</v>
      </c>
      <c r="C88" s="37" t="s">
        <v>25</v>
      </c>
      <c r="D88" s="1" t="s">
        <v>9</v>
      </c>
      <c r="E88" s="2">
        <v>4.5967000000000002</v>
      </c>
      <c r="F88" s="3">
        <v>3000461</v>
      </c>
      <c r="G88" s="42">
        <f t="shared" si="1"/>
        <v>1023.547189</v>
      </c>
    </row>
    <row r="89" spans="1:7" x14ac:dyDescent="0.25">
      <c r="A89" s="38"/>
      <c r="B89" s="38"/>
      <c r="C89" s="38"/>
      <c r="D89" s="1" t="s">
        <v>37</v>
      </c>
      <c r="E89" s="2">
        <v>3.5752000000000002</v>
      </c>
      <c r="F89" s="3">
        <v>3000462</v>
      </c>
      <c r="G89" s="42">
        <f t="shared" si="1"/>
        <v>796.08978400000001</v>
      </c>
    </row>
    <row r="90" spans="1:7" x14ac:dyDescent="0.25">
      <c r="A90" s="38"/>
      <c r="B90" s="38"/>
      <c r="C90" s="38"/>
      <c r="D90" s="1" t="s">
        <v>38</v>
      </c>
      <c r="E90" s="2">
        <v>5.1482999999999999</v>
      </c>
      <c r="F90" s="3">
        <v>4000321</v>
      </c>
      <c r="G90" s="42">
        <f t="shared" si="1"/>
        <v>1146.3719609999998</v>
      </c>
    </row>
    <row r="91" spans="1:7" x14ac:dyDescent="0.25">
      <c r="A91" s="39"/>
      <c r="B91" s="39"/>
      <c r="C91" s="39"/>
      <c r="D91" s="1" t="s">
        <v>39</v>
      </c>
      <c r="E91" s="2">
        <v>4.3414000000000001</v>
      </c>
      <c r="F91" s="3">
        <v>3000463</v>
      </c>
      <c r="G91" s="42">
        <f t="shared" si="1"/>
        <v>966.69953799999996</v>
      </c>
    </row>
    <row r="92" spans="1:7" x14ac:dyDescent="0.25">
      <c r="A92" s="18" t="s">
        <v>93</v>
      </c>
      <c r="B92" s="11" t="s">
        <v>94</v>
      </c>
      <c r="C92" s="18" t="s">
        <v>25</v>
      </c>
      <c r="D92" s="1" t="s">
        <v>38</v>
      </c>
      <c r="E92" s="2">
        <v>2.3043999999999998</v>
      </c>
      <c r="F92" s="3">
        <v>3000464</v>
      </c>
      <c r="G92" s="42">
        <f t="shared" si="1"/>
        <v>513.12074799999994</v>
      </c>
    </row>
    <row r="93" spans="1:7" x14ac:dyDescent="0.25">
      <c r="A93" s="37" t="s">
        <v>95</v>
      </c>
      <c r="B93" s="37" t="s">
        <v>96</v>
      </c>
      <c r="C93" s="37" t="s">
        <v>8</v>
      </c>
      <c r="D93" s="1" t="s">
        <v>9</v>
      </c>
      <c r="E93" s="2">
        <v>3.5752000000000002</v>
      </c>
      <c r="F93" s="3">
        <v>3000465</v>
      </c>
      <c r="G93" s="42">
        <f t="shared" si="1"/>
        <v>796.08978400000001</v>
      </c>
    </row>
    <row r="94" spans="1:7" x14ac:dyDescent="0.25">
      <c r="A94" s="38"/>
      <c r="B94" s="38"/>
      <c r="C94" s="38"/>
      <c r="D94" s="1" t="s">
        <v>37</v>
      </c>
      <c r="E94" s="2">
        <v>3.1779999999999999</v>
      </c>
      <c r="F94" s="3">
        <v>3000466</v>
      </c>
      <c r="G94" s="42">
        <f t="shared" si="1"/>
        <v>707.64525999999989</v>
      </c>
    </row>
    <row r="95" spans="1:7" x14ac:dyDescent="0.25">
      <c r="A95" s="38"/>
      <c r="B95" s="38"/>
      <c r="C95" s="38"/>
      <c r="D95" s="1" t="s">
        <v>38</v>
      </c>
      <c r="E95" s="2">
        <v>3.9725000000000001</v>
      </c>
      <c r="F95" s="3">
        <v>3000467</v>
      </c>
      <c r="G95" s="42">
        <f t="shared" si="1"/>
        <v>884.55657499999995</v>
      </c>
    </row>
    <row r="96" spans="1:7" x14ac:dyDescent="0.25">
      <c r="A96" s="39"/>
      <c r="B96" s="39"/>
      <c r="C96" s="39"/>
      <c r="D96" s="1" t="s">
        <v>39</v>
      </c>
      <c r="E96" s="2">
        <v>3.3285</v>
      </c>
      <c r="F96" s="3">
        <v>4000322</v>
      </c>
      <c r="G96" s="42">
        <f t="shared" si="1"/>
        <v>741.15709499999991</v>
      </c>
    </row>
    <row r="97" spans="1:7" x14ac:dyDescent="0.25">
      <c r="A97" s="18" t="s">
        <v>97</v>
      </c>
      <c r="B97" s="11" t="s">
        <v>98</v>
      </c>
      <c r="C97" s="18" t="s">
        <v>25</v>
      </c>
      <c r="D97" s="1" t="s">
        <v>38</v>
      </c>
      <c r="E97" s="2">
        <v>0.63519999999999999</v>
      </c>
      <c r="F97" s="3">
        <v>3000468</v>
      </c>
      <c r="G97" s="42">
        <f t="shared" si="1"/>
        <v>141.43998399999998</v>
      </c>
    </row>
    <row r="98" spans="1:7" x14ac:dyDescent="0.25">
      <c r="A98" s="40" t="s">
        <v>99</v>
      </c>
      <c r="B98" s="40"/>
      <c r="C98" s="40"/>
      <c r="D98" s="40"/>
      <c r="E98" s="40"/>
      <c r="F98" s="40"/>
      <c r="G98" s="42"/>
    </row>
    <row r="99" spans="1:7" x14ac:dyDescent="0.25">
      <c r="A99" s="37" t="s">
        <v>100</v>
      </c>
      <c r="B99" s="37" t="s">
        <v>101</v>
      </c>
      <c r="C99" s="37" t="s">
        <v>25</v>
      </c>
      <c r="D99" s="1" t="s">
        <v>9</v>
      </c>
      <c r="E99" s="2">
        <v>1.5881000000000001</v>
      </c>
      <c r="F99" s="3">
        <v>3000469</v>
      </c>
      <c r="G99" s="42">
        <f t="shared" si="1"/>
        <v>353.62222700000001</v>
      </c>
    </row>
    <row r="100" spans="1:7" x14ac:dyDescent="0.25">
      <c r="A100" s="38"/>
      <c r="B100" s="38"/>
      <c r="C100" s="38"/>
      <c r="D100" s="1" t="s">
        <v>37</v>
      </c>
      <c r="E100" s="2">
        <v>0.79400000000000004</v>
      </c>
      <c r="F100" s="3">
        <v>3000470</v>
      </c>
      <c r="G100" s="42">
        <f t="shared" si="1"/>
        <v>176.79998000000001</v>
      </c>
    </row>
    <row r="101" spans="1:7" x14ac:dyDescent="0.25">
      <c r="A101" s="38"/>
      <c r="B101" s="38"/>
      <c r="C101" s="38"/>
      <c r="D101" s="1" t="s">
        <v>38</v>
      </c>
      <c r="E101" s="2">
        <v>1.9056999999999999</v>
      </c>
      <c r="F101" s="3">
        <v>3000471</v>
      </c>
      <c r="G101" s="42">
        <f t="shared" si="1"/>
        <v>424.34221899999994</v>
      </c>
    </row>
    <row r="102" spans="1:7" x14ac:dyDescent="0.25">
      <c r="A102" s="39"/>
      <c r="B102" s="39"/>
      <c r="C102" s="39"/>
      <c r="D102" s="1" t="s">
        <v>39</v>
      </c>
      <c r="E102" s="2">
        <v>1.2704</v>
      </c>
      <c r="F102" s="3">
        <v>3000472</v>
      </c>
      <c r="G102" s="42">
        <f t="shared" si="1"/>
        <v>282.87996799999996</v>
      </c>
    </row>
    <row r="103" spans="1:7" x14ac:dyDescent="0.25">
      <c r="A103" s="37" t="s">
        <v>102</v>
      </c>
      <c r="B103" s="37" t="s">
        <v>103</v>
      </c>
      <c r="C103" s="37" t="s">
        <v>25</v>
      </c>
      <c r="D103" s="1" t="s">
        <v>9</v>
      </c>
      <c r="E103" s="2">
        <v>0.57169999999999999</v>
      </c>
      <c r="F103" s="3">
        <v>3000473</v>
      </c>
      <c r="G103" s="42">
        <f t="shared" si="1"/>
        <v>127.30043899999998</v>
      </c>
    </row>
    <row r="104" spans="1:7" x14ac:dyDescent="0.25">
      <c r="A104" s="38"/>
      <c r="B104" s="38"/>
      <c r="C104" s="38"/>
      <c r="D104" s="1" t="s">
        <v>37</v>
      </c>
      <c r="E104" s="2">
        <v>0.44469999999999998</v>
      </c>
      <c r="F104" s="3">
        <v>3000474</v>
      </c>
      <c r="G104" s="42">
        <f t="shared" si="1"/>
        <v>99.021348999999987</v>
      </c>
    </row>
    <row r="105" spans="1:7" x14ac:dyDescent="0.25">
      <c r="A105" s="38"/>
      <c r="B105" s="38"/>
      <c r="C105" s="38"/>
      <c r="D105" s="1" t="s">
        <v>38</v>
      </c>
      <c r="E105" s="2">
        <v>0.69869999999999999</v>
      </c>
      <c r="F105" s="3">
        <v>3000475</v>
      </c>
      <c r="G105" s="42">
        <f t="shared" si="1"/>
        <v>155.57952899999998</v>
      </c>
    </row>
    <row r="106" spans="1:7" x14ac:dyDescent="0.25">
      <c r="A106" s="39"/>
      <c r="B106" s="39"/>
      <c r="C106" s="39"/>
      <c r="D106" s="1" t="s">
        <v>39</v>
      </c>
      <c r="E106" s="2">
        <v>0.47639999999999999</v>
      </c>
      <c r="F106" s="3">
        <v>3000476</v>
      </c>
      <c r="G106" s="42">
        <f t="shared" si="1"/>
        <v>106.07998799999999</v>
      </c>
    </row>
    <row r="107" spans="1:7" x14ac:dyDescent="0.25">
      <c r="A107" s="37" t="s">
        <v>104</v>
      </c>
      <c r="B107" s="37" t="s">
        <v>105</v>
      </c>
      <c r="C107" s="37" t="s">
        <v>25</v>
      </c>
      <c r="D107" s="1" t="s">
        <v>9</v>
      </c>
      <c r="E107" s="2">
        <v>0.76229999999999998</v>
      </c>
      <c r="F107" s="3">
        <v>3000477</v>
      </c>
      <c r="G107" s="42">
        <f t="shared" si="1"/>
        <v>169.74134099999998</v>
      </c>
    </row>
    <row r="108" spans="1:7" x14ac:dyDescent="0.25">
      <c r="A108" s="38"/>
      <c r="B108" s="38"/>
      <c r="C108" s="38"/>
      <c r="D108" s="1" t="s">
        <v>37</v>
      </c>
      <c r="E108" s="2">
        <v>0.47639999999999999</v>
      </c>
      <c r="F108" s="3">
        <v>3000478</v>
      </c>
      <c r="G108" s="42">
        <f t="shared" si="1"/>
        <v>106.07998799999999</v>
      </c>
    </row>
    <row r="109" spans="1:7" x14ac:dyDescent="0.25">
      <c r="A109" s="38"/>
      <c r="B109" s="38"/>
      <c r="C109" s="38"/>
      <c r="D109" s="1" t="s">
        <v>38</v>
      </c>
      <c r="E109" s="2">
        <v>0.85750000000000004</v>
      </c>
      <c r="F109" s="3">
        <v>3000479</v>
      </c>
      <c r="G109" s="42">
        <f t="shared" si="1"/>
        <v>190.939525</v>
      </c>
    </row>
    <row r="110" spans="1:7" x14ac:dyDescent="0.25">
      <c r="A110" s="39"/>
      <c r="B110" s="39"/>
      <c r="C110" s="39"/>
      <c r="D110" s="1" t="s">
        <v>39</v>
      </c>
      <c r="E110" s="2">
        <v>0.57169999999999999</v>
      </c>
      <c r="F110" s="3">
        <v>3000480</v>
      </c>
      <c r="G110" s="42">
        <f t="shared" si="1"/>
        <v>127.30043899999998</v>
      </c>
    </row>
    <row r="111" spans="1:7" x14ac:dyDescent="0.25">
      <c r="A111" s="37" t="s">
        <v>106</v>
      </c>
      <c r="B111" s="37" t="s">
        <v>107</v>
      </c>
      <c r="C111" s="37" t="s">
        <v>25</v>
      </c>
      <c r="D111" s="1" t="s">
        <v>9</v>
      </c>
      <c r="E111" s="2">
        <v>0.53359999999999996</v>
      </c>
      <c r="F111" s="3">
        <v>3000649</v>
      </c>
      <c r="G111" s="42">
        <f t="shared" si="1"/>
        <v>118.81671199999998</v>
      </c>
    </row>
    <row r="112" spans="1:7" x14ac:dyDescent="0.25">
      <c r="A112" s="38"/>
      <c r="B112" s="38"/>
      <c r="C112" s="38"/>
      <c r="D112" s="1" t="s">
        <v>37</v>
      </c>
      <c r="E112" s="2">
        <v>0.33350000000000002</v>
      </c>
      <c r="F112" s="3">
        <v>3000650</v>
      </c>
      <c r="G112" s="42">
        <f t="shared" si="1"/>
        <v>74.260445000000004</v>
      </c>
    </row>
    <row r="113" spans="1:7" x14ac:dyDescent="0.25">
      <c r="A113" s="38"/>
      <c r="B113" s="38"/>
      <c r="C113" s="38"/>
      <c r="D113" s="1" t="s">
        <v>38</v>
      </c>
      <c r="E113" s="2">
        <v>0.60029999999999994</v>
      </c>
      <c r="F113" s="3">
        <v>3000651</v>
      </c>
      <c r="G113" s="42">
        <f t="shared" si="1"/>
        <v>133.66880099999997</v>
      </c>
    </row>
    <row r="114" spans="1:7" x14ac:dyDescent="0.25">
      <c r="A114" s="39"/>
      <c r="B114" s="39"/>
      <c r="C114" s="39"/>
      <c r="D114" s="1" t="s">
        <v>39</v>
      </c>
      <c r="E114" s="2">
        <v>0.4002</v>
      </c>
      <c r="F114" s="3">
        <v>3000653</v>
      </c>
      <c r="G114" s="42">
        <f t="shared" si="1"/>
        <v>89.112533999999997</v>
      </c>
    </row>
    <row r="115" spans="1:7" x14ac:dyDescent="0.25">
      <c r="A115" s="37" t="s">
        <v>108</v>
      </c>
      <c r="B115" s="37" t="s">
        <v>109</v>
      </c>
      <c r="C115" s="37" t="s">
        <v>25</v>
      </c>
      <c r="D115" s="1" t="s">
        <v>9</v>
      </c>
      <c r="E115" s="2">
        <v>0.47639999999999999</v>
      </c>
      <c r="F115" s="3">
        <v>3000645</v>
      </c>
      <c r="G115" s="42">
        <f t="shared" si="1"/>
        <v>106.07998799999999</v>
      </c>
    </row>
    <row r="116" spans="1:7" x14ac:dyDescent="0.25">
      <c r="A116" s="38"/>
      <c r="B116" s="38"/>
      <c r="C116" s="38"/>
      <c r="D116" s="1" t="s">
        <v>37</v>
      </c>
      <c r="E116" s="2">
        <v>0.2382</v>
      </c>
      <c r="F116" s="3">
        <v>3000646</v>
      </c>
      <c r="G116" s="42">
        <f t="shared" si="1"/>
        <v>53.039993999999993</v>
      </c>
    </row>
    <row r="117" spans="1:7" x14ac:dyDescent="0.25">
      <c r="A117" s="38"/>
      <c r="B117" s="38"/>
      <c r="C117" s="38"/>
      <c r="D117" s="1" t="s">
        <v>38</v>
      </c>
      <c r="E117" s="2">
        <v>0.57169999999999999</v>
      </c>
      <c r="F117" s="3">
        <v>3000647</v>
      </c>
      <c r="G117" s="42">
        <f t="shared" si="1"/>
        <v>127.30043899999998</v>
      </c>
    </row>
    <row r="118" spans="1:7" x14ac:dyDescent="0.25">
      <c r="A118" s="39"/>
      <c r="B118" s="39"/>
      <c r="C118" s="39"/>
      <c r="D118" s="1" t="s">
        <v>39</v>
      </c>
      <c r="E118" s="2">
        <v>0.50819999999999999</v>
      </c>
      <c r="F118" s="3">
        <v>3000648</v>
      </c>
      <c r="G118" s="42">
        <f t="shared" si="1"/>
        <v>113.16089399999998</v>
      </c>
    </row>
    <row r="119" spans="1:7" x14ac:dyDescent="0.25">
      <c r="A119" s="40" t="s">
        <v>110</v>
      </c>
      <c r="B119" s="40"/>
      <c r="C119" s="40"/>
      <c r="D119" s="40"/>
      <c r="E119" s="40"/>
      <c r="F119" s="40"/>
      <c r="G119" s="42"/>
    </row>
    <row r="120" spans="1:7" x14ac:dyDescent="0.25">
      <c r="A120" s="37" t="s">
        <v>111</v>
      </c>
      <c r="B120" s="37" t="s">
        <v>112</v>
      </c>
      <c r="C120" s="37" t="s">
        <v>25</v>
      </c>
      <c r="D120" s="1" t="s">
        <v>9</v>
      </c>
      <c r="E120" s="2">
        <v>1.7468999999999999</v>
      </c>
      <c r="F120" s="3">
        <v>3000481</v>
      </c>
      <c r="G120" s="42">
        <f t="shared" si="1"/>
        <v>388.98222299999998</v>
      </c>
    </row>
    <row r="121" spans="1:7" x14ac:dyDescent="0.25">
      <c r="A121" s="38"/>
      <c r="B121" s="38"/>
      <c r="C121" s="38"/>
      <c r="D121" s="1" t="s">
        <v>37</v>
      </c>
      <c r="E121" s="2">
        <v>1.1115999999999999</v>
      </c>
      <c r="F121" s="3">
        <v>3000482</v>
      </c>
      <c r="G121" s="42">
        <f t="shared" si="1"/>
        <v>247.51997199999997</v>
      </c>
    </row>
    <row r="122" spans="1:7" x14ac:dyDescent="0.25">
      <c r="A122" s="38"/>
      <c r="B122" s="38"/>
      <c r="C122" s="38"/>
      <c r="D122" s="1" t="s">
        <v>38</v>
      </c>
      <c r="E122" s="2">
        <v>2.0644999999999998</v>
      </c>
      <c r="F122" s="3">
        <v>3000483</v>
      </c>
      <c r="G122" s="42">
        <f t="shared" si="1"/>
        <v>459.70221499999991</v>
      </c>
    </row>
    <row r="123" spans="1:7" x14ac:dyDescent="0.25">
      <c r="A123" s="39"/>
      <c r="B123" s="39"/>
      <c r="C123" s="39"/>
      <c r="D123" s="1" t="s">
        <v>39</v>
      </c>
      <c r="E123" s="2">
        <v>0.95279999999999998</v>
      </c>
      <c r="F123" s="3">
        <v>3000484</v>
      </c>
      <c r="G123" s="42">
        <f t="shared" si="1"/>
        <v>212.15997599999997</v>
      </c>
    </row>
    <row r="124" spans="1:7" x14ac:dyDescent="0.25">
      <c r="A124" s="40" t="s">
        <v>113</v>
      </c>
      <c r="B124" s="40"/>
      <c r="C124" s="40"/>
      <c r="D124" s="40"/>
      <c r="E124" s="40"/>
      <c r="F124" s="40"/>
      <c r="G124" s="42"/>
    </row>
    <row r="125" spans="1:7" x14ac:dyDescent="0.25">
      <c r="A125" s="37" t="s">
        <v>114</v>
      </c>
      <c r="B125" s="37" t="s">
        <v>115</v>
      </c>
      <c r="C125" s="37" t="s">
        <v>25</v>
      </c>
      <c r="D125" s="1" t="s">
        <v>9</v>
      </c>
      <c r="E125" s="2">
        <v>0.34939999999999999</v>
      </c>
      <c r="F125" s="3">
        <v>3000486</v>
      </c>
      <c r="G125" s="42">
        <f t="shared" si="1"/>
        <v>77.800897999999989</v>
      </c>
    </row>
    <row r="126" spans="1:7" x14ac:dyDescent="0.25">
      <c r="A126" s="38"/>
      <c r="B126" s="38"/>
      <c r="C126" s="38"/>
      <c r="D126" s="1" t="s">
        <v>37</v>
      </c>
      <c r="E126" s="2">
        <v>0.2223</v>
      </c>
      <c r="F126" s="3">
        <v>3000487</v>
      </c>
      <c r="G126" s="42">
        <f t="shared" si="1"/>
        <v>49.499540999999994</v>
      </c>
    </row>
    <row r="127" spans="1:7" x14ac:dyDescent="0.25">
      <c r="A127" s="39"/>
      <c r="B127" s="39"/>
      <c r="C127" s="39"/>
      <c r="D127" s="1" t="s">
        <v>38</v>
      </c>
      <c r="E127" s="2">
        <v>0.38109999999999999</v>
      </c>
      <c r="F127" s="3">
        <v>3000488</v>
      </c>
      <c r="G127" s="42">
        <f t="shared" si="1"/>
        <v>84.859536999999989</v>
      </c>
    </row>
    <row r="128" spans="1:7" x14ac:dyDescent="0.25">
      <c r="A128" s="40" t="s">
        <v>116</v>
      </c>
      <c r="B128" s="40"/>
      <c r="C128" s="40"/>
      <c r="D128" s="40"/>
      <c r="E128" s="40"/>
      <c r="F128" s="40"/>
      <c r="G128" s="42"/>
    </row>
    <row r="129" spans="1:7" x14ac:dyDescent="0.25">
      <c r="A129" s="37" t="s">
        <v>117</v>
      </c>
      <c r="B129" s="37" t="s">
        <v>118</v>
      </c>
      <c r="C129" s="37" t="s">
        <v>8</v>
      </c>
      <c r="D129" s="1" t="s">
        <v>9</v>
      </c>
      <c r="E129" s="2">
        <v>0.35699999999999998</v>
      </c>
      <c r="F129" s="3">
        <v>3000489</v>
      </c>
      <c r="G129" s="42">
        <f t="shared" si="1"/>
        <v>79.493189999999998</v>
      </c>
    </row>
    <row r="130" spans="1:7" x14ac:dyDescent="0.25">
      <c r="A130" s="38"/>
      <c r="B130" s="38"/>
      <c r="C130" s="38"/>
      <c r="D130" s="1" t="s">
        <v>37</v>
      </c>
      <c r="E130" s="2">
        <v>0.2777</v>
      </c>
      <c r="F130" s="3">
        <v>3000490</v>
      </c>
      <c r="G130" s="42">
        <f t="shared" si="1"/>
        <v>61.835459</v>
      </c>
    </row>
    <row r="131" spans="1:7" x14ac:dyDescent="0.25">
      <c r="A131" s="38"/>
      <c r="B131" s="38"/>
      <c r="C131" s="38"/>
      <c r="D131" s="1" t="s">
        <v>38</v>
      </c>
      <c r="E131" s="2">
        <v>0.3967</v>
      </c>
      <c r="F131" s="3">
        <v>3000491</v>
      </c>
      <c r="G131" s="42">
        <f t="shared" si="1"/>
        <v>88.33318899999999</v>
      </c>
    </row>
    <row r="132" spans="1:7" x14ac:dyDescent="0.25">
      <c r="A132" s="39"/>
      <c r="B132" s="39"/>
      <c r="C132" s="39"/>
      <c r="D132" s="1" t="s">
        <v>39</v>
      </c>
      <c r="E132" s="2">
        <v>0.25779999999999997</v>
      </c>
      <c r="F132" s="3">
        <v>3000492</v>
      </c>
      <c r="G132" s="42">
        <f t="shared" ref="G132:G195" si="2">E132*222.67</f>
        <v>57.40432599999999</v>
      </c>
    </row>
    <row r="133" spans="1:7" x14ac:dyDescent="0.25">
      <c r="A133" s="18" t="s">
        <v>119</v>
      </c>
      <c r="B133" s="11" t="s">
        <v>120</v>
      </c>
      <c r="C133" s="18" t="s">
        <v>8</v>
      </c>
      <c r="D133" s="1" t="s">
        <v>9</v>
      </c>
      <c r="E133" s="2">
        <v>1.1507000000000001</v>
      </c>
      <c r="F133" s="3">
        <v>4000310</v>
      </c>
      <c r="G133" s="42">
        <f t="shared" si="2"/>
        <v>256.22636899999998</v>
      </c>
    </row>
    <row r="134" spans="1:7" x14ac:dyDescent="0.25">
      <c r="A134" s="18" t="s">
        <v>121</v>
      </c>
      <c r="B134" s="11" t="s">
        <v>122</v>
      </c>
      <c r="C134" s="18" t="s">
        <v>8</v>
      </c>
      <c r="D134" s="1" t="s">
        <v>9</v>
      </c>
      <c r="E134" s="2">
        <v>1.1268</v>
      </c>
      <c r="F134" s="3">
        <v>4000311</v>
      </c>
      <c r="G134" s="42">
        <f t="shared" si="2"/>
        <v>250.90455599999999</v>
      </c>
    </row>
    <row r="135" spans="1:7" x14ac:dyDescent="0.25">
      <c r="A135" s="18" t="s">
        <v>123</v>
      </c>
      <c r="B135" s="11" t="s">
        <v>124</v>
      </c>
      <c r="C135" s="18" t="s">
        <v>8</v>
      </c>
      <c r="D135" s="1" t="s">
        <v>38</v>
      </c>
      <c r="E135" s="2">
        <v>0.57999999999999996</v>
      </c>
      <c r="F135" s="3">
        <v>3000622</v>
      </c>
      <c r="G135" s="42">
        <f t="shared" si="2"/>
        <v>129.14859999999999</v>
      </c>
    </row>
    <row r="136" spans="1:7" x14ac:dyDescent="0.25">
      <c r="A136" s="18" t="s">
        <v>125</v>
      </c>
      <c r="B136" s="11" t="s">
        <v>126</v>
      </c>
      <c r="C136" s="18" t="s">
        <v>8</v>
      </c>
      <c r="D136" s="1" t="s">
        <v>38</v>
      </c>
      <c r="E136" s="2">
        <v>0.47</v>
      </c>
      <c r="F136" s="3">
        <v>3000623</v>
      </c>
      <c r="G136" s="42">
        <f t="shared" si="2"/>
        <v>104.65489999999998</v>
      </c>
    </row>
    <row r="137" spans="1:7" x14ac:dyDescent="0.25">
      <c r="A137" s="40" t="s">
        <v>127</v>
      </c>
      <c r="B137" s="40"/>
      <c r="C137" s="40"/>
      <c r="D137" s="40"/>
      <c r="E137" s="40"/>
      <c r="F137" s="40"/>
      <c r="G137" s="42"/>
    </row>
    <row r="138" spans="1:7" x14ac:dyDescent="0.25">
      <c r="A138" s="37" t="s">
        <v>128</v>
      </c>
      <c r="B138" s="37" t="s">
        <v>129</v>
      </c>
      <c r="C138" s="37" t="s">
        <v>25</v>
      </c>
      <c r="D138" s="1" t="s">
        <v>9</v>
      </c>
      <c r="E138" s="2">
        <v>1.2704</v>
      </c>
      <c r="F138" s="3">
        <v>3000497</v>
      </c>
      <c r="G138" s="42">
        <f t="shared" si="2"/>
        <v>282.87996799999996</v>
      </c>
    </row>
    <row r="139" spans="1:7" x14ac:dyDescent="0.25">
      <c r="A139" s="38"/>
      <c r="B139" s="38"/>
      <c r="C139" s="38"/>
      <c r="D139" s="1" t="s">
        <v>37</v>
      </c>
      <c r="E139" s="2">
        <v>0.79400000000000004</v>
      </c>
      <c r="F139" s="3">
        <v>3000498</v>
      </c>
      <c r="G139" s="42">
        <f t="shared" si="2"/>
        <v>176.79998000000001</v>
      </c>
    </row>
    <row r="140" spans="1:7" x14ac:dyDescent="0.25">
      <c r="A140" s="38"/>
      <c r="B140" s="38"/>
      <c r="C140" s="38"/>
      <c r="D140" s="1" t="s">
        <v>38</v>
      </c>
      <c r="E140" s="2">
        <v>1.5881000000000001</v>
      </c>
      <c r="F140" s="3">
        <v>3000499</v>
      </c>
      <c r="G140" s="42">
        <f t="shared" si="2"/>
        <v>353.62222700000001</v>
      </c>
    </row>
    <row r="141" spans="1:7" x14ac:dyDescent="0.25">
      <c r="A141" s="39"/>
      <c r="B141" s="39"/>
      <c r="C141" s="39"/>
      <c r="D141" s="1" t="s">
        <v>39</v>
      </c>
      <c r="E141" s="2">
        <v>1.1115999999999999</v>
      </c>
      <c r="F141" s="3">
        <v>3000500</v>
      </c>
      <c r="G141" s="42">
        <f t="shared" si="2"/>
        <v>247.51997199999997</v>
      </c>
    </row>
    <row r="142" spans="1:7" x14ac:dyDescent="0.25">
      <c r="A142" s="40" t="s">
        <v>130</v>
      </c>
      <c r="B142" s="40"/>
      <c r="C142" s="40"/>
      <c r="D142" s="40"/>
      <c r="E142" s="40"/>
      <c r="F142" s="40"/>
      <c r="G142" s="42"/>
    </row>
    <row r="143" spans="1:7" x14ac:dyDescent="0.25">
      <c r="A143" s="37" t="s">
        <v>131</v>
      </c>
      <c r="B143" s="37" t="s">
        <v>132</v>
      </c>
      <c r="C143" s="37" t="s">
        <v>8</v>
      </c>
      <c r="D143" s="1" t="s">
        <v>9</v>
      </c>
      <c r="E143" s="2">
        <v>3.8633000000000002</v>
      </c>
      <c r="F143" s="3">
        <v>3000501</v>
      </c>
      <c r="G143" s="42">
        <f t="shared" si="2"/>
        <v>860.24101099999996</v>
      </c>
    </row>
    <row r="144" spans="1:7" x14ac:dyDescent="0.25">
      <c r="A144" s="38"/>
      <c r="B144" s="38"/>
      <c r="C144" s="38"/>
      <c r="D144" s="1" t="s">
        <v>37</v>
      </c>
      <c r="E144" s="2">
        <v>1.762</v>
      </c>
      <c r="F144" s="3">
        <v>3000502</v>
      </c>
      <c r="G144" s="42">
        <f t="shared" si="2"/>
        <v>392.34453999999999</v>
      </c>
    </row>
    <row r="145" spans="1:7" x14ac:dyDescent="0.25">
      <c r="A145" s="38"/>
      <c r="B145" s="38"/>
      <c r="C145" s="38"/>
      <c r="D145" s="1" t="s">
        <v>38</v>
      </c>
      <c r="E145" s="2">
        <v>4.9222000000000001</v>
      </c>
      <c r="F145" s="3">
        <v>3000503</v>
      </c>
      <c r="G145" s="42">
        <f t="shared" si="2"/>
        <v>1096.0262740000001</v>
      </c>
    </row>
    <row r="146" spans="1:7" x14ac:dyDescent="0.25">
      <c r="A146" s="39"/>
      <c r="B146" s="39"/>
      <c r="C146" s="39"/>
      <c r="D146" s="1" t="s">
        <v>39</v>
      </c>
      <c r="E146" s="2">
        <v>3.4769999999999999</v>
      </c>
      <c r="F146" s="3">
        <v>3000504</v>
      </c>
      <c r="G146" s="42">
        <f t="shared" si="2"/>
        <v>774.22358999999994</v>
      </c>
    </row>
    <row r="147" spans="1:7" x14ac:dyDescent="0.25">
      <c r="A147" s="18" t="s">
        <v>133</v>
      </c>
      <c r="B147" s="11" t="s">
        <v>134</v>
      </c>
      <c r="C147" s="18" t="s">
        <v>8</v>
      </c>
      <c r="D147" s="1" t="s">
        <v>9</v>
      </c>
      <c r="E147" s="2">
        <v>0.11899999999999999</v>
      </c>
      <c r="F147" s="3">
        <v>3000505</v>
      </c>
      <c r="G147" s="42">
        <f t="shared" si="2"/>
        <v>26.497729999999997</v>
      </c>
    </row>
    <row r="148" spans="1:7" x14ac:dyDescent="0.25">
      <c r="A148" s="18" t="s">
        <v>135</v>
      </c>
      <c r="B148" s="11" t="s">
        <v>136</v>
      </c>
      <c r="C148" s="18" t="s">
        <v>8</v>
      </c>
      <c r="D148" s="1" t="s">
        <v>9</v>
      </c>
      <c r="E148" s="2">
        <v>3.14</v>
      </c>
      <c r="F148" s="3">
        <v>3000506</v>
      </c>
      <c r="G148" s="42">
        <f t="shared" si="2"/>
        <v>699.18380000000002</v>
      </c>
    </row>
    <row r="149" spans="1:7" x14ac:dyDescent="0.25">
      <c r="A149" s="18" t="s">
        <v>137</v>
      </c>
      <c r="B149" s="11" t="s">
        <v>138</v>
      </c>
      <c r="C149" s="18" t="s">
        <v>8</v>
      </c>
      <c r="D149" s="1" t="s">
        <v>9</v>
      </c>
      <c r="E149" s="2">
        <v>0.96020000000000005</v>
      </c>
      <c r="F149" s="3">
        <v>3000507</v>
      </c>
      <c r="G149" s="42">
        <f t="shared" si="2"/>
        <v>213.80773400000001</v>
      </c>
    </row>
    <row r="150" spans="1:7" x14ac:dyDescent="0.25">
      <c r="A150" s="18" t="s">
        <v>139</v>
      </c>
      <c r="B150" s="11" t="s">
        <v>140</v>
      </c>
      <c r="C150" s="18" t="s">
        <v>8</v>
      </c>
      <c r="D150" s="1" t="s">
        <v>9</v>
      </c>
      <c r="E150" s="2">
        <v>22.069900000000001</v>
      </c>
      <c r="F150" s="3">
        <v>4001081</v>
      </c>
      <c r="G150" s="42">
        <f t="shared" si="2"/>
        <v>4914.3046329999997</v>
      </c>
    </row>
    <row r="151" spans="1:7" x14ac:dyDescent="0.25">
      <c r="A151" s="18" t="s">
        <v>141</v>
      </c>
      <c r="B151" s="11" t="s">
        <v>142</v>
      </c>
      <c r="C151" s="18" t="s">
        <v>8</v>
      </c>
      <c r="D151" s="1" t="s">
        <v>9</v>
      </c>
      <c r="E151" s="2">
        <v>22.069900000000001</v>
      </c>
      <c r="F151" s="3">
        <v>4001082</v>
      </c>
      <c r="G151" s="42">
        <f t="shared" si="2"/>
        <v>4914.3046329999997</v>
      </c>
    </row>
    <row r="152" spans="1:7" x14ac:dyDescent="0.25">
      <c r="A152" s="18" t="s">
        <v>143</v>
      </c>
      <c r="B152" s="11" t="s">
        <v>144</v>
      </c>
      <c r="C152" s="18" t="s">
        <v>8</v>
      </c>
      <c r="D152" s="1" t="s">
        <v>9</v>
      </c>
      <c r="E152" s="2">
        <v>0.77</v>
      </c>
      <c r="F152" s="3">
        <v>3000509</v>
      </c>
      <c r="G152" s="42">
        <f t="shared" si="2"/>
        <v>171.45589999999999</v>
      </c>
    </row>
    <row r="153" spans="1:7" x14ac:dyDescent="0.25">
      <c r="A153" s="18" t="s">
        <v>145</v>
      </c>
      <c r="B153" s="11" t="s">
        <v>146</v>
      </c>
      <c r="C153" s="18" t="s">
        <v>8</v>
      </c>
      <c r="D153" s="1" t="s">
        <v>9</v>
      </c>
      <c r="E153" s="2">
        <v>1.43</v>
      </c>
      <c r="F153" s="3">
        <v>3000510</v>
      </c>
      <c r="G153" s="42">
        <f t="shared" si="2"/>
        <v>318.41809999999998</v>
      </c>
    </row>
    <row r="154" spans="1:7" x14ac:dyDescent="0.25">
      <c r="A154" s="37" t="s">
        <v>147</v>
      </c>
      <c r="B154" s="37" t="s">
        <v>148</v>
      </c>
      <c r="C154" s="37" t="s">
        <v>25</v>
      </c>
      <c r="D154" s="1" t="s">
        <v>9</v>
      </c>
      <c r="E154" s="2">
        <v>1.2704</v>
      </c>
      <c r="F154" s="3">
        <v>3000511</v>
      </c>
      <c r="G154" s="42">
        <f t="shared" si="2"/>
        <v>282.87996799999996</v>
      </c>
    </row>
    <row r="155" spans="1:7" x14ac:dyDescent="0.25">
      <c r="A155" s="38"/>
      <c r="B155" s="38"/>
      <c r="C155" s="38"/>
      <c r="D155" s="1" t="s">
        <v>37</v>
      </c>
      <c r="E155" s="2">
        <v>0.79400000000000004</v>
      </c>
      <c r="F155" s="3">
        <v>3000512</v>
      </c>
      <c r="G155" s="42">
        <f t="shared" si="2"/>
        <v>176.79998000000001</v>
      </c>
    </row>
    <row r="156" spans="1:7" x14ac:dyDescent="0.25">
      <c r="A156" s="38"/>
      <c r="B156" s="38"/>
      <c r="C156" s="38"/>
      <c r="D156" s="1" t="s">
        <v>38</v>
      </c>
      <c r="E156" s="2">
        <v>1.4292</v>
      </c>
      <c r="F156" s="3">
        <v>3000513</v>
      </c>
      <c r="G156" s="42">
        <f t="shared" si="2"/>
        <v>318.23996399999999</v>
      </c>
    </row>
    <row r="157" spans="1:7" x14ac:dyDescent="0.25">
      <c r="A157" s="39"/>
      <c r="B157" s="39"/>
      <c r="C157" s="39"/>
      <c r="D157" s="1" t="s">
        <v>39</v>
      </c>
      <c r="E157" s="2">
        <v>0.63519999999999999</v>
      </c>
      <c r="F157" s="3">
        <v>3000514</v>
      </c>
      <c r="G157" s="42">
        <f t="shared" si="2"/>
        <v>141.43998399999998</v>
      </c>
    </row>
    <row r="158" spans="1:7" x14ac:dyDescent="0.25">
      <c r="A158" s="18" t="s">
        <v>149</v>
      </c>
      <c r="B158" s="11" t="s">
        <v>150</v>
      </c>
      <c r="C158" s="18" t="s">
        <v>25</v>
      </c>
      <c r="D158" s="1" t="s">
        <v>37</v>
      </c>
      <c r="E158" s="2">
        <v>0.79400000000000004</v>
      </c>
      <c r="F158" s="3">
        <v>3000515</v>
      </c>
      <c r="G158" s="42">
        <f t="shared" si="2"/>
        <v>176.79998000000001</v>
      </c>
    </row>
    <row r="159" spans="1:7" x14ac:dyDescent="0.25">
      <c r="A159" s="18" t="s">
        <v>151</v>
      </c>
      <c r="B159" s="11" t="s">
        <v>152</v>
      </c>
      <c r="C159" s="18" t="s">
        <v>25</v>
      </c>
      <c r="D159" s="1" t="s">
        <v>39</v>
      </c>
      <c r="E159" s="2">
        <v>0.57169999999999999</v>
      </c>
      <c r="F159" s="3">
        <v>3000654</v>
      </c>
      <c r="G159" s="42">
        <f t="shared" si="2"/>
        <v>127.30043899999998</v>
      </c>
    </row>
    <row r="160" spans="1:7" x14ac:dyDescent="0.25">
      <c r="A160" s="18" t="s">
        <v>153</v>
      </c>
      <c r="B160" s="11" t="s">
        <v>154</v>
      </c>
      <c r="C160" s="18" t="s">
        <v>8</v>
      </c>
      <c r="D160" s="1" t="s">
        <v>9</v>
      </c>
      <c r="E160" s="2">
        <v>12.5</v>
      </c>
      <c r="F160" s="3">
        <v>4000640</v>
      </c>
      <c r="G160" s="42">
        <f t="shared" si="2"/>
        <v>2783.375</v>
      </c>
    </row>
    <row r="161" spans="1:7" x14ac:dyDescent="0.25">
      <c r="A161" s="37" t="s">
        <v>155</v>
      </c>
      <c r="B161" s="37" t="s">
        <v>156</v>
      </c>
      <c r="C161" s="37" t="s">
        <v>8</v>
      </c>
      <c r="D161" s="1" t="s">
        <v>9</v>
      </c>
      <c r="E161" s="2">
        <v>7.9165999999999999</v>
      </c>
      <c r="F161" s="3">
        <v>4000641</v>
      </c>
      <c r="G161" s="42">
        <f t="shared" si="2"/>
        <v>1762.7893219999999</v>
      </c>
    </row>
    <row r="162" spans="1:7" x14ac:dyDescent="0.25">
      <c r="A162" s="38"/>
      <c r="B162" s="38"/>
      <c r="C162" s="38"/>
      <c r="D162" s="1" t="s">
        <v>37</v>
      </c>
      <c r="E162" s="2">
        <v>3.8</v>
      </c>
      <c r="F162" s="3">
        <v>4000827</v>
      </c>
      <c r="G162" s="42">
        <f t="shared" si="2"/>
        <v>846.14599999999996</v>
      </c>
    </row>
    <row r="163" spans="1:7" x14ac:dyDescent="0.25">
      <c r="A163" s="38"/>
      <c r="B163" s="38"/>
      <c r="C163" s="38"/>
      <c r="D163" s="1" t="s">
        <v>38</v>
      </c>
      <c r="E163" s="2">
        <v>10.086399999999999</v>
      </c>
      <c r="F163" s="3">
        <v>4000642</v>
      </c>
      <c r="G163" s="42">
        <f t="shared" si="2"/>
        <v>2245.9386879999997</v>
      </c>
    </row>
    <row r="164" spans="1:7" x14ac:dyDescent="0.25">
      <c r="A164" s="39"/>
      <c r="B164" s="39"/>
      <c r="C164" s="39"/>
      <c r="D164" s="1" t="s">
        <v>39</v>
      </c>
      <c r="E164" s="2">
        <v>7.1249000000000002</v>
      </c>
      <c r="F164" s="3">
        <v>4000828</v>
      </c>
      <c r="G164" s="42">
        <f t="shared" si="2"/>
        <v>1586.501483</v>
      </c>
    </row>
    <row r="165" spans="1:7" x14ac:dyDescent="0.25">
      <c r="A165" s="37" t="s">
        <v>157</v>
      </c>
      <c r="B165" s="37" t="s">
        <v>158</v>
      </c>
      <c r="C165" s="37" t="s">
        <v>25</v>
      </c>
      <c r="D165" s="1" t="s">
        <v>9</v>
      </c>
      <c r="E165" s="2">
        <v>37.173499999999997</v>
      </c>
      <c r="F165" s="3">
        <v>4000483</v>
      </c>
      <c r="G165" s="42">
        <f t="shared" si="2"/>
        <v>8277.4232449999981</v>
      </c>
    </row>
    <row r="166" spans="1:7" x14ac:dyDescent="0.25">
      <c r="A166" s="39"/>
      <c r="B166" s="39"/>
      <c r="C166" s="39"/>
      <c r="D166" s="1" t="s">
        <v>37</v>
      </c>
      <c r="E166" s="2">
        <v>5.5761000000000003</v>
      </c>
      <c r="F166" s="3">
        <v>4000484</v>
      </c>
      <c r="G166" s="42">
        <f t="shared" si="2"/>
        <v>1241.630187</v>
      </c>
    </row>
    <row r="167" spans="1:7" x14ac:dyDescent="0.25">
      <c r="A167" s="40" t="s">
        <v>159</v>
      </c>
      <c r="B167" s="40"/>
      <c r="C167" s="40"/>
      <c r="D167" s="40"/>
      <c r="E167" s="40"/>
      <c r="F167" s="40"/>
      <c r="G167" s="42"/>
    </row>
    <row r="168" spans="1:7" x14ac:dyDescent="0.25">
      <c r="A168" s="37" t="s">
        <v>160</v>
      </c>
      <c r="B168" s="37" t="s">
        <v>161</v>
      </c>
      <c r="C168" s="37" t="s">
        <v>53</v>
      </c>
      <c r="D168" s="1" t="s">
        <v>9</v>
      </c>
      <c r="E168" s="2">
        <v>1.9599999999999999E-2</v>
      </c>
      <c r="F168" s="3">
        <v>3000516</v>
      </c>
      <c r="G168" s="42">
        <f t="shared" si="2"/>
        <v>4.3643319999999992</v>
      </c>
    </row>
    <row r="169" spans="1:7" x14ac:dyDescent="0.25">
      <c r="A169" s="38"/>
      <c r="B169" s="38"/>
      <c r="C169" s="38"/>
      <c r="D169" s="1" t="s">
        <v>37</v>
      </c>
      <c r="E169" s="2">
        <v>1.06E-2</v>
      </c>
      <c r="F169" s="3">
        <v>3000517</v>
      </c>
      <c r="G169" s="42">
        <f t="shared" si="2"/>
        <v>2.3603019999999999</v>
      </c>
    </row>
    <row r="170" spans="1:7" x14ac:dyDescent="0.25">
      <c r="A170" s="38"/>
      <c r="B170" s="38"/>
      <c r="C170" s="38"/>
      <c r="D170" s="1" t="s">
        <v>38</v>
      </c>
      <c r="E170" s="2">
        <v>2.2800000000000001E-2</v>
      </c>
      <c r="F170" s="3">
        <v>3000518</v>
      </c>
      <c r="G170" s="42">
        <f t="shared" si="2"/>
        <v>5.0768759999999995</v>
      </c>
    </row>
    <row r="171" spans="1:7" x14ac:dyDescent="0.25">
      <c r="A171" s="39"/>
      <c r="B171" s="39"/>
      <c r="C171" s="39"/>
      <c r="D171" s="1" t="s">
        <v>39</v>
      </c>
      <c r="E171" s="2">
        <v>1.1299999999999999E-2</v>
      </c>
      <c r="F171" s="3">
        <v>3000519</v>
      </c>
      <c r="G171" s="42">
        <f t="shared" si="2"/>
        <v>2.5161709999999995</v>
      </c>
    </row>
    <row r="172" spans="1:7" x14ac:dyDescent="0.25">
      <c r="A172" s="18" t="s">
        <v>162</v>
      </c>
      <c r="B172" s="11" t="s">
        <v>163</v>
      </c>
      <c r="C172" s="18" t="s">
        <v>8</v>
      </c>
      <c r="D172" s="1" t="s">
        <v>9</v>
      </c>
      <c r="E172" s="2">
        <v>0.63519999999999999</v>
      </c>
      <c r="F172" s="3">
        <v>3000520</v>
      </c>
      <c r="G172" s="42">
        <f t="shared" si="2"/>
        <v>141.43998399999998</v>
      </c>
    </row>
    <row r="173" spans="1:7" x14ac:dyDescent="0.25">
      <c r="A173" s="37" t="s">
        <v>164</v>
      </c>
      <c r="B173" s="37" t="s">
        <v>165</v>
      </c>
      <c r="C173" s="37" t="s">
        <v>8</v>
      </c>
      <c r="D173" s="1" t="s">
        <v>9</v>
      </c>
      <c r="E173" s="2">
        <v>2.5409000000000002</v>
      </c>
      <c r="F173" s="3">
        <v>3000521</v>
      </c>
      <c r="G173" s="42">
        <f t="shared" si="2"/>
        <v>565.78220299999998</v>
      </c>
    </row>
    <row r="174" spans="1:7" x14ac:dyDescent="0.25">
      <c r="A174" s="39"/>
      <c r="B174" s="39"/>
      <c r="C174" s="39"/>
      <c r="D174" s="1" t="s">
        <v>38</v>
      </c>
      <c r="E174" s="2">
        <v>2.7949999999999999</v>
      </c>
      <c r="F174" s="3">
        <v>3000522</v>
      </c>
      <c r="G174" s="42">
        <f t="shared" si="2"/>
        <v>622.36264999999992</v>
      </c>
    </row>
    <row r="175" spans="1:7" x14ac:dyDescent="0.25">
      <c r="A175" s="37" t="s">
        <v>166</v>
      </c>
      <c r="B175" s="37" t="s">
        <v>167</v>
      </c>
      <c r="C175" s="37" t="s">
        <v>8</v>
      </c>
      <c r="D175" s="1" t="s">
        <v>9</v>
      </c>
      <c r="E175" s="2">
        <v>0.63519999999999999</v>
      </c>
      <c r="F175" s="3">
        <v>3000523</v>
      </c>
      <c r="G175" s="42">
        <f t="shared" si="2"/>
        <v>141.43998399999998</v>
      </c>
    </row>
    <row r="176" spans="1:7" x14ac:dyDescent="0.25">
      <c r="A176" s="39"/>
      <c r="B176" s="39"/>
      <c r="C176" s="39"/>
      <c r="D176" s="1" t="s">
        <v>38</v>
      </c>
      <c r="E176" s="2">
        <v>0.69869999999999999</v>
      </c>
      <c r="F176" s="3">
        <v>3000524</v>
      </c>
      <c r="G176" s="42">
        <f t="shared" si="2"/>
        <v>155.57952899999998</v>
      </c>
    </row>
    <row r="177" spans="1:7" x14ac:dyDescent="0.25">
      <c r="A177" s="37" t="s">
        <v>168</v>
      </c>
      <c r="B177" s="37" t="s">
        <v>169</v>
      </c>
      <c r="C177" s="37" t="s">
        <v>8</v>
      </c>
      <c r="D177" s="1" t="s">
        <v>9</v>
      </c>
      <c r="E177" s="2">
        <v>1.5881000000000001</v>
      </c>
      <c r="F177" s="3">
        <v>3000525</v>
      </c>
      <c r="G177" s="42">
        <f t="shared" si="2"/>
        <v>353.62222700000001</v>
      </c>
    </row>
    <row r="178" spans="1:7" x14ac:dyDescent="0.25">
      <c r="A178" s="39"/>
      <c r="B178" s="39"/>
      <c r="C178" s="39"/>
      <c r="D178" s="1" t="s">
        <v>38</v>
      </c>
      <c r="E178" s="2">
        <v>1.9056999999999999</v>
      </c>
      <c r="F178" s="3">
        <v>3000526</v>
      </c>
      <c r="G178" s="42">
        <f t="shared" si="2"/>
        <v>424.34221899999994</v>
      </c>
    </row>
    <row r="179" spans="1:7" x14ac:dyDescent="0.25">
      <c r="A179" s="37" t="s">
        <v>170</v>
      </c>
      <c r="B179" s="37" t="s">
        <v>171</v>
      </c>
      <c r="C179" s="37" t="s">
        <v>25</v>
      </c>
      <c r="D179" s="1" t="s">
        <v>9</v>
      </c>
      <c r="E179" s="2">
        <v>1.9056999999999999</v>
      </c>
      <c r="F179" s="3">
        <v>3000527</v>
      </c>
      <c r="G179" s="42">
        <f t="shared" si="2"/>
        <v>424.34221899999994</v>
      </c>
    </row>
    <row r="180" spans="1:7" x14ac:dyDescent="0.25">
      <c r="A180" s="38"/>
      <c r="B180" s="38"/>
      <c r="C180" s="38"/>
      <c r="D180" s="1" t="s">
        <v>37</v>
      </c>
      <c r="E180" s="2">
        <v>1.1516999999999999</v>
      </c>
      <c r="F180" s="3">
        <v>4001039</v>
      </c>
      <c r="G180" s="42">
        <f t="shared" si="2"/>
        <v>256.44903899999997</v>
      </c>
    </row>
    <row r="181" spans="1:7" x14ac:dyDescent="0.25">
      <c r="A181" s="39"/>
      <c r="B181" s="39"/>
      <c r="C181" s="39"/>
      <c r="D181" s="1" t="s">
        <v>38</v>
      </c>
      <c r="E181" s="2">
        <v>2.2233000000000001</v>
      </c>
      <c r="F181" s="3">
        <v>3000528</v>
      </c>
      <c r="G181" s="42">
        <f t="shared" si="2"/>
        <v>495.06221099999999</v>
      </c>
    </row>
    <row r="182" spans="1:7" x14ac:dyDescent="0.25">
      <c r="A182" s="18" t="s">
        <v>172</v>
      </c>
      <c r="B182" s="11" t="s">
        <v>173</v>
      </c>
      <c r="C182" s="18" t="s">
        <v>25</v>
      </c>
      <c r="D182" s="1" t="s">
        <v>9</v>
      </c>
      <c r="E182" s="2">
        <v>0.63519999999999999</v>
      </c>
      <c r="F182" s="3">
        <v>3000529</v>
      </c>
      <c r="G182" s="42">
        <f t="shared" si="2"/>
        <v>141.43998399999998</v>
      </c>
    </row>
    <row r="183" spans="1:7" x14ac:dyDescent="0.25">
      <c r="A183" s="37" t="s">
        <v>174</v>
      </c>
      <c r="B183" s="37" t="s">
        <v>175</v>
      </c>
      <c r="C183" s="37" t="s">
        <v>25</v>
      </c>
      <c r="D183" s="1" t="s">
        <v>9</v>
      </c>
      <c r="E183" s="2">
        <v>0.95279999999999998</v>
      </c>
      <c r="F183" s="3">
        <v>3000530</v>
      </c>
      <c r="G183" s="42">
        <f t="shared" si="2"/>
        <v>212.15997599999997</v>
      </c>
    </row>
    <row r="184" spans="1:7" x14ac:dyDescent="0.25">
      <c r="A184" s="39"/>
      <c r="B184" s="39"/>
      <c r="C184" s="39"/>
      <c r="D184" s="1" t="s">
        <v>38</v>
      </c>
      <c r="E184" s="2">
        <v>1.1115999999999999</v>
      </c>
      <c r="F184" s="3">
        <v>3000531</v>
      </c>
      <c r="G184" s="42">
        <f t="shared" si="2"/>
        <v>247.51997199999997</v>
      </c>
    </row>
    <row r="185" spans="1:7" x14ac:dyDescent="0.25">
      <c r="A185" s="37" t="s">
        <v>176</v>
      </c>
      <c r="B185" s="37" t="s">
        <v>177</v>
      </c>
      <c r="C185" s="37" t="s">
        <v>8</v>
      </c>
      <c r="D185" s="1" t="s">
        <v>9</v>
      </c>
      <c r="E185" s="2">
        <v>0.25409999999999999</v>
      </c>
      <c r="F185" s="3">
        <v>3000532</v>
      </c>
      <c r="G185" s="42">
        <f t="shared" si="2"/>
        <v>56.580446999999992</v>
      </c>
    </row>
    <row r="186" spans="1:7" x14ac:dyDescent="0.25">
      <c r="A186" s="39"/>
      <c r="B186" s="39"/>
      <c r="C186" s="39"/>
      <c r="D186" s="1" t="s">
        <v>38</v>
      </c>
      <c r="E186" s="2">
        <v>0.31759999999999999</v>
      </c>
      <c r="F186" s="3">
        <v>3000533</v>
      </c>
      <c r="G186" s="42">
        <f t="shared" si="2"/>
        <v>70.719991999999991</v>
      </c>
    </row>
    <row r="187" spans="1:7" x14ac:dyDescent="0.25">
      <c r="A187" s="37" t="s">
        <v>178</v>
      </c>
      <c r="B187" s="37" t="s">
        <v>179</v>
      </c>
      <c r="C187" s="37" t="s">
        <v>8</v>
      </c>
      <c r="D187" s="1" t="s">
        <v>9</v>
      </c>
      <c r="E187" s="2">
        <v>0.1588</v>
      </c>
      <c r="F187" s="3">
        <v>3000534</v>
      </c>
      <c r="G187" s="42">
        <f t="shared" si="2"/>
        <v>35.359995999999995</v>
      </c>
    </row>
    <row r="188" spans="1:7" x14ac:dyDescent="0.25">
      <c r="A188" s="38"/>
      <c r="B188" s="38"/>
      <c r="C188" s="38"/>
      <c r="D188" s="1" t="s">
        <v>37</v>
      </c>
      <c r="E188" s="2">
        <v>0.127</v>
      </c>
      <c r="F188" s="3">
        <v>3000535</v>
      </c>
      <c r="G188" s="42">
        <f t="shared" si="2"/>
        <v>28.27909</v>
      </c>
    </row>
    <row r="189" spans="1:7" x14ac:dyDescent="0.25">
      <c r="A189" s="39"/>
      <c r="B189" s="39"/>
      <c r="C189" s="39"/>
      <c r="D189" s="1" t="s">
        <v>38</v>
      </c>
      <c r="E189" s="2">
        <v>0.19059999999999999</v>
      </c>
      <c r="F189" s="3">
        <v>3000536</v>
      </c>
      <c r="G189" s="42">
        <f t="shared" si="2"/>
        <v>42.440901999999994</v>
      </c>
    </row>
    <row r="190" spans="1:7" x14ac:dyDescent="0.25">
      <c r="A190" s="40" t="s">
        <v>180</v>
      </c>
      <c r="B190" s="40"/>
      <c r="C190" s="40"/>
      <c r="D190" s="40"/>
      <c r="E190" s="40"/>
      <c r="F190" s="40"/>
      <c r="G190" s="42"/>
    </row>
    <row r="191" spans="1:7" x14ac:dyDescent="0.25">
      <c r="A191" s="37" t="s">
        <v>181</v>
      </c>
      <c r="B191" s="37" t="s">
        <v>182</v>
      </c>
      <c r="C191" s="37" t="s">
        <v>25</v>
      </c>
      <c r="D191" s="1" t="s">
        <v>9</v>
      </c>
      <c r="E191" s="2">
        <v>1.1115999999999999</v>
      </c>
      <c r="F191" s="3">
        <v>3000537</v>
      </c>
      <c r="G191" s="42">
        <f t="shared" si="2"/>
        <v>247.51997199999997</v>
      </c>
    </row>
    <row r="192" spans="1:7" x14ac:dyDescent="0.25">
      <c r="A192" s="38"/>
      <c r="B192" s="38"/>
      <c r="C192" s="38"/>
      <c r="D192" s="1" t="s">
        <v>37</v>
      </c>
      <c r="E192" s="2">
        <v>0.63519999999999999</v>
      </c>
      <c r="F192" s="3">
        <v>3000538</v>
      </c>
      <c r="G192" s="42">
        <f t="shared" si="2"/>
        <v>141.43998399999998</v>
      </c>
    </row>
    <row r="193" spans="1:7" x14ac:dyDescent="0.25">
      <c r="A193" s="38"/>
      <c r="B193" s="38"/>
      <c r="C193" s="38"/>
      <c r="D193" s="1" t="s">
        <v>38</v>
      </c>
      <c r="E193" s="2">
        <v>1.2704</v>
      </c>
      <c r="F193" s="3">
        <v>3000539</v>
      </c>
      <c r="G193" s="42">
        <f t="shared" si="2"/>
        <v>282.87996799999996</v>
      </c>
    </row>
    <row r="194" spans="1:7" x14ac:dyDescent="0.25">
      <c r="A194" s="39"/>
      <c r="B194" s="39"/>
      <c r="C194" s="39"/>
      <c r="D194" s="1" t="s">
        <v>39</v>
      </c>
      <c r="E194" s="2">
        <v>0.88929999999999998</v>
      </c>
      <c r="F194" s="3">
        <v>3000540</v>
      </c>
      <c r="G194" s="42">
        <f t="shared" si="2"/>
        <v>198.02043099999997</v>
      </c>
    </row>
    <row r="195" spans="1:7" x14ac:dyDescent="0.25">
      <c r="A195" s="37" t="s">
        <v>183</v>
      </c>
      <c r="B195" s="37" t="s">
        <v>184</v>
      </c>
      <c r="C195" s="37" t="s">
        <v>25</v>
      </c>
      <c r="D195" s="1" t="s">
        <v>9</v>
      </c>
      <c r="E195" s="2">
        <v>2.2233000000000001</v>
      </c>
      <c r="F195" s="3">
        <v>3000541</v>
      </c>
      <c r="G195" s="42">
        <f t="shared" si="2"/>
        <v>495.06221099999999</v>
      </c>
    </row>
    <row r="196" spans="1:7" x14ac:dyDescent="0.25">
      <c r="A196" s="38"/>
      <c r="B196" s="38"/>
      <c r="C196" s="38"/>
      <c r="D196" s="1" t="s">
        <v>37</v>
      </c>
      <c r="E196" s="2">
        <v>1.4292</v>
      </c>
      <c r="F196" s="3">
        <v>3000542</v>
      </c>
      <c r="G196" s="42">
        <f t="shared" ref="G196:G259" si="3">E196*222.67</f>
        <v>318.23996399999999</v>
      </c>
    </row>
    <row r="197" spans="1:7" x14ac:dyDescent="0.25">
      <c r="A197" s="38"/>
      <c r="B197" s="38"/>
      <c r="C197" s="38"/>
      <c r="D197" s="1" t="s">
        <v>38</v>
      </c>
      <c r="E197" s="2">
        <v>2.5409000000000002</v>
      </c>
      <c r="F197" s="3">
        <v>3000543</v>
      </c>
      <c r="G197" s="42">
        <f t="shared" si="3"/>
        <v>565.78220299999998</v>
      </c>
    </row>
    <row r="198" spans="1:7" x14ac:dyDescent="0.25">
      <c r="A198" s="39"/>
      <c r="B198" s="39"/>
      <c r="C198" s="39"/>
      <c r="D198" s="1" t="s">
        <v>39</v>
      </c>
      <c r="E198" s="2">
        <v>1.5881000000000001</v>
      </c>
      <c r="F198" s="3">
        <v>3000544</v>
      </c>
      <c r="G198" s="42">
        <f t="shared" si="3"/>
        <v>353.62222700000001</v>
      </c>
    </row>
    <row r="199" spans="1:7" x14ac:dyDescent="0.25">
      <c r="A199" s="37" t="s">
        <v>185</v>
      </c>
      <c r="B199" s="37" t="s">
        <v>186</v>
      </c>
      <c r="C199" s="37" t="s">
        <v>8</v>
      </c>
      <c r="D199" s="1" t="s">
        <v>9</v>
      </c>
      <c r="E199" s="2">
        <v>0.25409999999999999</v>
      </c>
      <c r="F199" s="3">
        <v>3000545</v>
      </c>
      <c r="G199" s="42">
        <f t="shared" si="3"/>
        <v>56.580446999999992</v>
      </c>
    </row>
    <row r="200" spans="1:7" x14ac:dyDescent="0.25">
      <c r="A200" s="38"/>
      <c r="B200" s="38"/>
      <c r="C200" s="38"/>
      <c r="D200" s="1" t="s">
        <v>37</v>
      </c>
      <c r="E200" s="2">
        <v>0.19059999999999999</v>
      </c>
      <c r="F200" s="3">
        <v>3000546</v>
      </c>
      <c r="G200" s="42">
        <f t="shared" si="3"/>
        <v>42.440901999999994</v>
      </c>
    </row>
    <row r="201" spans="1:7" x14ac:dyDescent="0.25">
      <c r="A201" s="38"/>
      <c r="B201" s="38"/>
      <c r="C201" s="38"/>
      <c r="D201" s="1" t="s">
        <v>38</v>
      </c>
      <c r="E201" s="2">
        <v>0.2858</v>
      </c>
      <c r="F201" s="3">
        <v>3000547</v>
      </c>
      <c r="G201" s="42">
        <f t="shared" si="3"/>
        <v>63.639085999999999</v>
      </c>
    </row>
    <row r="202" spans="1:7" x14ac:dyDescent="0.25">
      <c r="A202" s="39"/>
      <c r="B202" s="39"/>
      <c r="C202" s="39"/>
      <c r="D202" s="1" t="s">
        <v>39</v>
      </c>
      <c r="E202" s="2">
        <v>0.19059999999999999</v>
      </c>
      <c r="F202" s="3">
        <v>3000548</v>
      </c>
      <c r="G202" s="42">
        <f t="shared" si="3"/>
        <v>42.440901999999994</v>
      </c>
    </row>
    <row r="203" spans="1:7" x14ac:dyDescent="0.25">
      <c r="A203" s="37" t="s">
        <v>187</v>
      </c>
      <c r="B203" s="37" t="s">
        <v>188</v>
      </c>
      <c r="C203" s="37" t="s">
        <v>53</v>
      </c>
      <c r="D203" s="1" t="s">
        <v>9</v>
      </c>
      <c r="E203" s="2">
        <v>1.7100000000000001E-2</v>
      </c>
      <c r="F203" s="3">
        <v>3000549</v>
      </c>
      <c r="G203" s="42">
        <f t="shared" si="3"/>
        <v>3.8076569999999998</v>
      </c>
    </row>
    <row r="204" spans="1:7" x14ac:dyDescent="0.25">
      <c r="A204" s="38"/>
      <c r="B204" s="38"/>
      <c r="C204" s="38"/>
      <c r="D204" s="1" t="s">
        <v>37</v>
      </c>
      <c r="E204" s="2">
        <v>8.8000000000000005E-3</v>
      </c>
      <c r="F204" s="3">
        <v>3000550</v>
      </c>
      <c r="G204" s="42">
        <f t="shared" si="3"/>
        <v>1.9594959999999999</v>
      </c>
    </row>
    <row r="205" spans="1:7" x14ac:dyDescent="0.25">
      <c r="A205" s="38"/>
      <c r="B205" s="38"/>
      <c r="C205" s="38"/>
      <c r="D205" s="1" t="s">
        <v>38</v>
      </c>
      <c r="E205" s="2">
        <v>1.9599999999999999E-2</v>
      </c>
      <c r="F205" s="3">
        <v>3000551</v>
      </c>
      <c r="G205" s="42">
        <f t="shared" si="3"/>
        <v>4.3643319999999992</v>
      </c>
    </row>
    <row r="206" spans="1:7" x14ac:dyDescent="0.25">
      <c r="A206" s="39"/>
      <c r="B206" s="39"/>
      <c r="C206" s="39"/>
      <c r="D206" s="1" t="s">
        <v>39</v>
      </c>
      <c r="E206" s="2">
        <v>9.7999999999999997E-3</v>
      </c>
      <c r="F206" s="3">
        <v>3000552</v>
      </c>
      <c r="G206" s="42">
        <f t="shared" si="3"/>
        <v>2.1821659999999996</v>
      </c>
    </row>
    <row r="207" spans="1:7" x14ac:dyDescent="0.25">
      <c r="A207" s="37" t="s">
        <v>189</v>
      </c>
      <c r="B207" s="37" t="s">
        <v>190</v>
      </c>
      <c r="C207" s="37" t="s">
        <v>8</v>
      </c>
      <c r="D207" s="1" t="s">
        <v>9</v>
      </c>
      <c r="E207" s="2">
        <v>0.53990000000000005</v>
      </c>
      <c r="F207" s="3">
        <v>3000553</v>
      </c>
      <c r="G207" s="42">
        <f t="shared" si="3"/>
        <v>120.219533</v>
      </c>
    </row>
    <row r="208" spans="1:7" x14ac:dyDescent="0.25">
      <c r="A208" s="39"/>
      <c r="B208" s="39"/>
      <c r="C208" s="39"/>
      <c r="D208" s="1" t="s">
        <v>38</v>
      </c>
      <c r="E208" s="2">
        <v>0.60350000000000004</v>
      </c>
      <c r="F208" s="3">
        <v>3000554</v>
      </c>
      <c r="G208" s="42">
        <f t="shared" si="3"/>
        <v>134.38134500000001</v>
      </c>
    </row>
    <row r="209" spans="1:7" x14ac:dyDescent="0.25">
      <c r="A209" s="18" t="s">
        <v>191</v>
      </c>
      <c r="B209" s="11" t="s">
        <v>192</v>
      </c>
      <c r="C209" s="18" t="s">
        <v>8</v>
      </c>
      <c r="D209" s="1" t="s">
        <v>9</v>
      </c>
      <c r="E209" s="2">
        <v>0.19059999999999999</v>
      </c>
      <c r="F209" s="3">
        <v>3000555</v>
      </c>
      <c r="G209" s="42">
        <f t="shared" si="3"/>
        <v>42.440901999999994</v>
      </c>
    </row>
    <row r="210" spans="1:7" x14ac:dyDescent="0.25">
      <c r="A210" s="18" t="s">
        <v>193</v>
      </c>
      <c r="B210" s="11" t="s">
        <v>194</v>
      </c>
      <c r="C210" s="18" t="s">
        <v>8</v>
      </c>
      <c r="D210" s="1" t="s">
        <v>9</v>
      </c>
      <c r="E210" s="2">
        <v>0.31759999999999999</v>
      </c>
      <c r="F210" s="3">
        <v>3000556</v>
      </c>
      <c r="G210" s="42">
        <f t="shared" si="3"/>
        <v>70.719991999999991</v>
      </c>
    </row>
    <row r="211" spans="1:7" x14ac:dyDescent="0.25">
      <c r="A211" s="37" t="s">
        <v>195</v>
      </c>
      <c r="B211" s="37" t="s">
        <v>196</v>
      </c>
      <c r="C211" s="37" t="s">
        <v>8</v>
      </c>
      <c r="D211" s="1" t="s">
        <v>9</v>
      </c>
      <c r="E211" s="2">
        <v>0.63519999999999999</v>
      </c>
      <c r="F211" s="3">
        <v>3000557</v>
      </c>
      <c r="G211" s="42">
        <f t="shared" si="3"/>
        <v>141.43998399999998</v>
      </c>
    </row>
    <row r="212" spans="1:7" x14ac:dyDescent="0.25">
      <c r="A212" s="38"/>
      <c r="B212" s="38"/>
      <c r="C212" s="38"/>
      <c r="D212" s="1" t="s">
        <v>37</v>
      </c>
      <c r="E212" s="2">
        <v>0.47120000000000001</v>
      </c>
      <c r="F212" s="3">
        <v>4001040</v>
      </c>
      <c r="G212" s="42">
        <f t="shared" si="3"/>
        <v>104.92210399999999</v>
      </c>
    </row>
    <row r="213" spans="1:7" x14ac:dyDescent="0.25">
      <c r="A213" s="39"/>
      <c r="B213" s="39"/>
      <c r="C213" s="39"/>
      <c r="D213" s="1" t="s">
        <v>38</v>
      </c>
      <c r="E213" s="2">
        <v>0.69869999999999999</v>
      </c>
      <c r="F213" s="3">
        <v>3000558</v>
      </c>
      <c r="G213" s="42">
        <f t="shared" si="3"/>
        <v>155.57952899999998</v>
      </c>
    </row>
    <row r="214" spans="1:7" x14ac:dyDescent="0.25">
      <c r="A214" s="40" t="s">
        <v>197</v>
      </c>
      <c r="B214" s="40"/>
      <c r="C214" s="40"/>
      <c r="D214" s="40"/>
      <c r="E214" s="40"/>
      <c r="F214" s="40"/>
      <c r="G214" s="42"/>
    </row>
    <row r="215" spans="1:7" x14ac:dyDescent="0.25">
      <c r="A215" s="18" t="s">
        <v>198</v>
      </c>
      <c r="B215" s="11" t="s">
        <v>199</v>
      </c>
      <c r="C215" s="18" t="s">
        <v>8</v>
      </c>
      <c r="D215" s="1" t="s">
        <v>9</v>
      </c>
      <c r="E215" s="2">
        <v>3.4214000000000002</v>
      </c>
      <c r="F215" s="3">
        <v>3000559</v>
      </c>
      <c r="G215" s="42">
        <f t="shared" si="3"/>
        <v>761.84313799999995</v>
      </c>
    </row>
    <row r="216" spans="1:7" x14ac:dyDescent="0.25">
      <c r="A216" s="18" t="s">
        <v>200</v>
      </c>
      <c r="B216" s="11" t="s">
        <v>201</v>
      </c>
      <c r="C216" s="18" t="s">
        <v>25</v>
      </c>
      <c r="D216" s="1" t="s">
        <v>9</v>
      </c>
      <c r="E216" s="2">
        <v>1.9551000000000001</v>
      </c>
      <c r="F216" s="3">
        <v>3000560</v>
      </c>
      <c r="G216" s="42">
        <f t="shared" si="3"/>
        <v>435.34211699999997</v>
      </c>
    </row>
    <row r="217" spans="1:7" x14ac:dyDescent="0.25">
      <c r="A217" s="37" t="s">
        <v>202</v>
      </c>
      <c r="B217" s="37" t="s">
        <v>203</v>
      </c>
      <c r="C217" s="37" t="s">
        <v>25</v>
      </c>
      <c r="D217" s="1" t="s">
        <v>9</v>
      </c>
      <c r="E217" s="2">
        <v>3.4214000000000002</v>
      </c>
      <c r="F217" s="3">
        <v>3000561</v>
      </c>
      <c r="G217" s="42">
        <f t="shared" si="3"/>
        <v>761.84313799999995</v>
      </c>
    </row>
    <row r="218" spans="1:7" x14ac:dyDescent="0.25">
      <c r="A218" s="38"/>
      <c r="B218" s="38"/>
      <c r="C218" s="38"/>
      <c r="D218" s="1" t="s">
        <v>37</v>
      </c>
      <c r="E218" s="2">
        <v>2.1995</v>
      </c>
      <c r="F218" s="3">
        <v>3000562</v>
      </c>
      <c r="G218" s="42">
        <f t="shared" si="3"/>
        <v>489.76266499999997</v>
      </c>
    </row>
    <row r="219" spans="1:7" x14ac:dyDescent="0.25">
      <c r="A219" s="38"/>
      <c r="B219" s="38"/>
      <c r="C219" s="38"/>
      <c r="D219" s="1" t="s">
        <v>38</v>
      </c>
      <c r="E219" s="2">
        <v>4.6092000000000004</v>
      </c>
      <c r="F219" s="3">
        <v>3000563</v>
      </c>
      <c r="G219" s="42">
        <f t="shared" si="3"/>
        <v>1026.3305640000001</v>
      </c>
    </row>
    <row r="220" spans="1:7" x14ac:dyDescent="0.25">
      <c r="A220" s="39"/>
      <c r="B220" s="39"/>
      <c r="C220" s="39"/>
      <c r="D220" s="1" t="s">
        <v>39</v>
      </c>
      <c r="E220" s="2">
        <v>2.9325999999999999</v>
      </c>
      <c r="F220" s="3">
        <v>3000564</v>
      </c>
      <c r="G220" s="42">
        <f t="shared" si="3"/>
        <v>653.00204199999996</v>
      </c>
    </row>
    <row r="221" spans="1:7" x14ac:dyDescent="0.25">
      <c r="A221" s="37" t="s">
        <v>204</v>
      </c>
      <c r="B221" s="37" t="s">
        <v>205</v>
      </c>
      <c r="C221" s="37" t="s">
        <v>25</v>
      </c>
      <c r="D221" s="1" t="s">
        <v>9</v>
      </c>
      <c r="E221" s="2">
        <v>4.1056999999999997</v>
      </c>
      <c r="F221" s="3">
        <v>3000565</v>
      </c>
      <c r="G221" s="42">
        <f t="shared" si="3"/>
        <v>914.21621899999991</v>
      </c>
    </row>
    <row r="222" spans="1:7" x14ac:dyDescent="0.25">
      <c r="A222" s="38"/>
      <c r="B222" s="38"/>
      <c r="C222" s="38"/>
      <c r="D222" s="1" t="s">
        <v>37</v>
      </c>
      <c r="E222" s="2">
        <v>2.7372000000000001</v>
      </c>
      <c r="F222" s="3">
        <v>3000566</v>
      </c>
      <c r="G222" s="42">
        <f t="shared" si="3"/>
        <v>609.49232399999994</v>
      </c>
    </row>
    <row r="223" spans="1:7" x14ac:dyDescent="0.25">
      <c r="A223" s="38"/>
      <c r="B223" s="38"/>
      <c r="C223" s="38"/>
      <c r="D223" s="1" t="s">
        <v>38</v>
      </c>
      <c r="E223" s="2">
        <v>4.6969000000000003</v>
      </c>
      <c r="F223" s="3">
        <v>3000567</v>
      </c>
      <c r="G223" s="42">
        <f t="shared" si="3"/>
        <v>1045.8587230000001</v>
      </c>
    </row>
    <row r="224" spans="1:7" x14ac:dyDescent="0.25">
      <c r="A224" s="39"/>
      <c r="B224" s="39"/>
      <c r="C224" s="39"/>
      <c r="D224" s="1" t="s">
        <v>39</v>
      </c>
      <c r="E224" s="2">
        <v>3.8319000000000001</v>
      </c>
      <c r="F224" s="3">
        <v>3000568</v>
      </c>
      <c r="G224" s="42">
        <f t="shared" si="3"/>
        <v>853.24917299999993</v>
      </c>
    </row>
    <row r="225" spans="1:7" x14ac:dyDescent="0.25">
      <c r="A225" s="37" t="s">
        <v>206</v>
      </c>
      <c r="B225" s="37" t="s">
        <v>207</v>
      </c>
      <c r="C225" s="37" t="s">
        <v>25</v>
      </c>
      <c r="D225" s="1" t="s">
        <v>9</v>
      </c>
      <c r="E225" s="2">
        <v>6.5997000000000003</v>
      </c>
      <c r="F225" s="3">
        <v>3000569</v>
      </c>
      <c r="G225" s="42">
        <f t="shared" si="3"/>
        <v>1469.5551989999999</v>
      </c>
    </row>
    <row r="226" spans="1:7" x14ac:dyDescent="0.25">
      <c r="A226" s="38"/>
      <c r="B226" s="38"/>
      <c r="C226" s="38"/>
      <c r="D226" s="1" t="s">
        <v>37</v>
      </c>
      <c r="E226" s="2">
        <v>5.1330999999999998</v>
      </c>
      <c r="F226" s="3">
        <v>3000570</v>
      </c>
      <c r="G226" s="42">
        <f t="shared" si="3"/>
        <v>1142.9873769999999</v>
      </c>
    </row>
    <row r="227" spans="1:7" x14ac:dyDescent="0.25">
      <c r="A227" s="38"/>
      <c r="B227" s="38"/>
      <c r="C227" s="38"/>
      <c r="D227" s="1" t="s">
        <v>38</v>
      </c>
      <c r="E227" s="2">
        <v>7.3330000000000002</v>
      </c>
      <c r="F227" s="3">
        <v>3000571</v>
      </c>
      <c r="G227" s="42">
        <f t="shared" si="3"/>
        <v>1632.8391099999999</v>
      </c>
    </row>
    <row r="228" spans="1:7" x14ac:dyDescent="0.25">
      <c r="A228" s="39"/>
      <c r="B228" s="39"/>
      <c r="C228" s="39"/>
      <c r="D228" s="1" t="s">
        <v>39</v>
      </c>
      <c r="E228" s="2">
        <v>5.8663999999999996</v>
      </c>
      <c r="F228" s="3">
        <v>3000572</v>
      </c>
      <c r="G228" s="42">
        <f t="shared" si="3"/>
        <v>1306.2712879999999</v>
      </c>
    </row>
    <row r="229" spans="1:7" x14ac:dyDescent="0.25">
      <c r="A229" s="37" t="s">
        <v>208</v>
      </c>
      <c r="B229" s="37" t="s">
        <v>209</v>
      </c>
      <c r="C229" s="37" t="s">
        <v>8</v>
      </c>
      <c r="D229" s="1" t="s">
        <v>9</v>
      </c>
      <c r="E229" s="2">
        <v>8.7995999999999999</v>
      </c>
      <c r="F229" s="3">
        <v>3000573</v>
      </c>
      <c r="G229" s="42">
        <f t="shared" si="3"/>
        <v>1959.4069319999999</v>
      </c>
    </row>
    <row r="230" spans="1:7" x14ac:dyDescent="0.25">
      <c r="A230" s="38"/>
      <c r="B230" s="38"/>
      <c r="C230" s="38"/>
      <c r="D230" s="1" t="s">
        <v>37</v>
      </c>
      <c r="E230" s="2">
        <v>6.5997000000000003</v>
      </c>
      <c r="F230" s="3">
        <v>3000574</v>
      </c>
      <c r="G230" s="42">
        <f t="shared" si="3"/>
        <v>1469.5551989999999</v>
      </c>
    </row>
    <row r="231" spans="1:7" x14ac:dyDescent="0.25">
      <c r="A231" s="38"/>
      <c r="B231" s="38"/>
      <c r="C231" s="38"/>
      <c r="D231" s="1" t="s">
        <v>38</v>
      </c>
      <c r="E231" s="2">
        <v>10.2662</v>
      </c>
      <c r="F231" s="3">
        <v>3000575</v>
      </c>
      <c r="G231" s="42">
        <f t="shared" si="3"/>
        <v>2285.9747539999998</v>
      </c>
    </row>
    <row r="232" spans="1:7" x14ac:dyDescent="0.25">
      <c r="A232" s="39"/>
      <c r="B232" s="39"/>
      <c r="C232" s="39"/>
      <c r="D232" s="1" t="s">
        <v>39</v>
      </c>
      <c r="E232" s="2">
        <v>7.3330000000000002</v>
      </c>
      <c r="F232" s="3">
        <v>3000576</v>
      </c>
      <c r="G232" s="42">
        <f t="shared" si="3"/>
        <v>1632.8391099999999</v>
      </c>
    </row>
    <row r="233" spans="1:7" x14ac:dyDescent="0.25">
      <c r="A233" s="18" t="s">
        <v>210</v>
      </c>
      <c r="B233" s="11" t="s">
        <v>211</v>
      </c>
      <c r="C233" s="18" t="s">
        <v>25</v>
      </c>
      <c r="D233" s="1" t="s">
        <v>38</v>
      </c>
      <c r="E233" s="2">
        <v>4.1642999999999999</v>
      </c>
      <c r="F233" s="3">
        <v>3000577</v>
      </c>
      <c r="G233" s="42">
        <f t="shared" si="3"/>
        <v>927.26468099999988</v>
      </c>
    </row>
    <row r="234" spans="1:7" x14ac:dyDescent="0.25">
      <c r="A234" s="18" t="s">
        <v>212</v>
      </c>
      <c r="B234" s="11" t="s">
        <v>213</v>
      </c>
      <c r="C234" s="18" t="s">
        <v>8</v>
      </c>
      <c r="D234" s="1" t="s">
        <v>9</v>
      </c>
      <c r="E234" s="2">
        <v>2.9331999999999998</v>
      </c>
      <c r="F234" s="3">
        <v>3000578</v>
      </c>
      <c r="G234" s="42">
        <f t="shared" si="3"/>
        <v>653.13564399999996</v>
      </c>
    </row>
    <row r="235" spans="1:7" x14ac:dyDescent="0.25">
      <c r="A235" s="37" t="s">
        <v>214</v>
      </c>
      <c r="B235" s="37" t="s">
        <v>132</v>
      </c>
      <c r="C235" s="37" t="s">
        <v>8</v>
      </c>
      <c r="D235" s="1" t="s">
        <v>9</v>
      </c>
      <c r="E235" s="2">
        <v>6.2625000000000002</v>
      </c>
      <c r="F235" s="3">
        <v>3000579</v>
      </c>
      <c r="G235" s="42">
        <f t="shared" si="3"/>
        <v>1394.470875</v>
      </c>
    </row>
    <row r="236" spans="1:7" x14ac:dyDescent="0.25">
      <c r="A236" s="38"/>
      <c r="B236" s="38"/>
      <c r="C236" s="38"/>
      <c r="D236" s="1" t="s">
        <v>37</v>
      </c>
      <c r="E236" s="2">
        <v>5.0598000000000001</v>
      </c>
      <c r="F236" s="3">
        <v>3000580</v>
      </c>
      <c r="G236" s="42">
        <f t="shared" si="3"/>
        <v>1126.6656659999999</v>
      </c>
    </row>
    <row r="237" spans="1:7" x14ac:dyDescent="0.25">
      <c r="A237" s="39"/>
      <c r="B237" s="39"/>
      <c r="C237" s="39"/>
      <c r="D237" s="1" t="s">
        <v>38</v>
      </c>
      <c r="E237" s="2">
        <v>8.0516000000000005</v>
      </c>
      <c r="F237" s="3">
        <v>3000581</v>
      </c>
      <c r="G237" s="42">
        <f t="shared" si="3"/>
        <v>1792.849772</v>
      </c>
    </row>
    <row r="238" spans="1:7" x14ac:dyDescent="0.25">
      <c r="A238" s="18" t="s">
        <v>215</v>
      </c>
      <c r="B238" s="11" t="s">
        <v>216</v>
      </c>
      <c r="C238" s="18" t="s">
        <v>8</v>
      </c>
      <c r="D238" s="1" t="s">
        <v>9</v>
      </c>
      <c r="E238" s="2">
        <v>0.97750000000000004</v>
      </c>
      <c r="F238" s="3">
        <v>3000582</v>
      </c>
      <c r="G238" s="42">
        <f t="shared" si="3"/>
        <v>217.65992499999999</v>
      </c>
    </row>
    <row r="239" spans="1:7" x14ac:dyDescent="0.25">
      <c r="A239" s="37" t="s">
        <v>217</v>
      </c>
      <c r="B239" s="37" t="s">
        <v>218</v>
      </c>
      <c r="C239" s="37" t="s">
        <v>8</v>
      </c>
      <c r="D239" s="1" t="s">
        <v>9</v>
      </c>
      <c r="E239" s="2">
        <v>0.97750000000000004</v>
      </c>
      <c r="F239" s="3">
        <v>3000584</v>
      </c>
      <c r="G239" s="42">
        <f t="shared" si="3"/>
        <v>217.65992499999999</v>
      </c>
    </row>
    <row r="240" spans="1:7" x14ac:dyDescent="0.25">
      <c r="A240" s="39"/>
      <c r="B240" s="39"/>
      <c r="C240" s="39"/>
      <c r="D240" s="1" t="s">
        <v>38</v>
      </c>
      <c r="E240" s="2">
        <v>1.2219</v>
      </c>
      <c r="F240" s="3">
        <v>3000585</v>
      </c>
      <c r="G240" s="42">
        <f t="shared" si="3"/>
        <v>272.08047299999998</v>
      </c>
    </row>
    <row r="241" spans="1:12" x14ac:dyDescent="0.25">
      <c r="A241" s="18" t="s">
        <v>219</v>
      </c>
      <c r="B241" s="11" t="s">
        <v>220</v>
      </c>
      <c r="C241" s="18" t="s">
        <v>25</v>
      </c>
      <c r="D241" s="1" t="s">
        <v>9</v>
      </c>
      <c r="E241" s="2">
        <v>1.7009000000000001</v>
      </c>
      <c r="F241" s="3">
        <v>3000586</v>
      </c>
      <c r="G241" s="42">
        <f t="shared" si="3"/>
        <v>378.73940299999998</v>
      </c>
    </row>
    <row r="242" spans="1:12" x14ac:dyDescent="0.25">
      <c r="A242" s="37" t="s">
        <v>221</v>
      </c>
      <c r="B242" s="37" t="s">
        <v>148</v>
      </c>
      <c r="C242" s="37" t="s">
        <v>25</v>
      </c>
      <c r="D242" s="1" t="s">
        <v>9</v>
      </c>
      <c r="E242" s="2">
        <v>1.4662999999999999</v>
      </c>
      <c r="F242" s="3">
        <v>3000587</v>
      </c>
      <c r="G242" s="42">
        <f t="shared" si="3"/>
        <v>326.50102099999998</v>
      </c>
    </row>
    <row r="243" spans="1:12" x14ac:dyDescent="0.25">
      <c r="A243" s="38"/>
      <c r="B243" s="38"/>
      <c r="C243" s="38"/>
      <c r="D243" s="1" t="s">
        <v>37</v>
      </c>
      <c r="E243" s="2">
        <v>0.96779999999999999</v>
      </c>
      <c r="F243" s="3">
        <v>3000588</v>
      </c>
      <c r="G243" s="42">
        <f t="shared" si="3"/>
        <v>215.50002599999999</v>
      </c>
    </row>
    <row r="244" spans="1:12" x14ac:dyDescent="0.25">
      <c r="A244" s="38"/>
      <c r="B244" s="38"/>
      <c r="C244" s="38"/>
      <c r="D244" s="1" t="s">
        <v>38</v>
      </c>
      <c r="E244" s="2">
        <v>1.7009000000000001</v>
      </c>
      <c r="F244" s="3">
        <v>3000589</v>
      </c>
      <c r="G244" s="42">
        <f t="shared" si="3"/>
        <v>378.73940299999998</v>
      </c>
    </row>
    <row r="245" spans="1:12" x14ac:dyDescent="0.25">
      <c r="A245" s="39"/>
      <c r="B245" s="39"/>
      <c r="C245" s="39"/>
      <c r="D245" s="1" t="s">
        <v>39</v>
      </c>
      <c r="E245" s="2">
        <v>1.3783000000000001</v>
      </c>
      <c r="F245" s="3">
        <v>3000590</v>
      </c>
      <c r="G245" s="42">
        <f t="shared" si="3"/>
        <v>306.90606100000002</v>
      </c>
    </row>
    <row r="246" spans="1:12" x14ac:dyDescent="0.25">
      <c r="A246" s="37" t="s">
        <v>222</v>
      </c>
      <c r="B246" s="37" t="s">
        <v>129</v>
      </c>
      <c r="C246" s="37" t="s">
        <v>25</v>
      </c>
      <c r="D246" s="1" t="s">
        <v>9</v>
      </c>
      <c r="E246" s="2">
        <v>2.1995</v>
      </c>
      <c r="F246" s="3">
        <v>3000591</v>
      </c>
      <c r="G246" s="42">
        <f t="shared" si="3"/>
        <v>489.76266499999997</v>
      </c>
    </row>
    <row r="247" spans="1:12" x14ac:dyDescent="0.25">
      <c r="A247" s="38"/>
      <c r="B247" s="38"/>
      <c r="C247" s="38"/>
      <c r="D247" s="1" t="s">
        <v>37</v>
      </c>
      <c r="E247" s="2">
        <v>1.4662999999999999</v>
      </c>
      <c r="F247" s="3">
        <v>3000592</v>
      </c>
      <c r="G247" s="42">
        <f t="shared" si="3"/>
        <v>326.50102099999998</v>
      </c>
    </row>
    <row r="248" spans="1:12" x14ac:dyDescent="0.25">
      <c r="A248" s="38"/>
      <c r="B248" s="38"/>
      <c r="C248" s="38"/>
      <c r="D248" s="1" t="s">
        <v>38</v>
      </c>
      <c r="E248" s="2">
        <v>2.4340999999999999</v>
      </c>
      <c r="F248" s="3">
        <v>3000593</v>
      </c>
      <c r="G248" s="42">
        <f t="shared" si="3"/>
        <v>542.00104699999997</v>
      </c>
    </row>
    <row r="249" spans="1:12" x14ac:dyDescent="0.25">
      <c r="A249" s="39"/>
      <c r="B249" s="39"/>
      <c r="C249" s="39"/>
      <c r="D249" s="1" t="s">
        <v>39</v>
      </c>
      <c r="E249" s="2">
        <v>2.0821999999999998</v>
      </c>
      <c r="F249" s="3">
        <v>3000594</v>
      </c>
      <c r="G249" s="42">
        <f t="shared" si="3"/>
        <v>463.64347399999991</v>
      </c>
    </row>
    <row r="250" spans="1:12" x14ac:dyDescent="0.25">
      <c r="A250" s="24" t="s">
        <v>223</v>
      </c>
      <c r="B250" s="12" t="s">
        <v>224</v>
      </c>
      <c r="C250" s="19" t="s">
        <v>25</v>
      </c>
      <c r="D250" s="7" t="s">
        <v>9</v>
      </c>
      <c r="E250" s="8">
        <v>1.1731</v>
      </c>
      <c r="F250" s="3">
        <v>3000595</v>
      </c>
      <c r="G250" s="42">
        <f t="shared" si="3"/>
        <v>261.21417700000001</v>
      </c>
      <c r="L250" s="4"/>
    </row>
    <row r="251" spans="1:12" x14ac:dyDescent="0.25">
      <c r="A251" s="25"/>
      <c r="B251" s="13"/>
      <c r="C251" s="20"/>
      <c r="D251" s="7" t="s">
        <v>38</v>
      </c>
      <c r="E251" s="8">
        <v>1.7596000000000001</v>
      </c>
      <c r="F251" s="3">
        <v>3000596</v>
      </c>
      <c r="G251" s="42">
        <f t="shared" si="3"/>
        <v>391.81013200000001</v>
      </c>
      <c r="L251" s="4"/>
    </row>
    <row r="252" spans="1:12" x14ac:dyDescent="0.25">
      <c r="A252" s="24" t="s">
        <v>225</v>
      </c>
      <c r="B252" s="12" t="s">
        <v>59</v>
      </c>
      <c r="C252" s="19" t="s">
        <v>8</v>
      </c>
      <c r="D252" s="7" t="s">
        <v>9</v>
      </c>
      <c r="E252" s="8">
        <v>0.97750000000000004</v>
      </c>
      <c r="F252" s="3">
        <v>3000597</v>
      </c>
      <c r="G252" s="42">
        <f t="shared" si="3"/>
        <v>217.65992499999999</v>
      </c>
      <c r="L252" s="4"/>
    </row>
    <row r="253" spans="1:12" x14ac:dyDescent="0.25">
      <c r="A253" s="25"/>
      <c r="B253" s="13"/>
      <c r="C253" s="20"/>
      <c r="D253" s="7" t="s">
        <v>38</v>
      </c>
      <c r="E253" s="8">
        <v>1.2219</v>
      </c>
      <c r="F253" s="3">
        <v>3000598</v>
      </c>
      <c r="G253" s="42">
        <f t="shared" si="3"/>
        <v>272.08047299999998</v>
      </c>
      <c r="L253" s="4"/>
    </row>
    <row r="254" spans="1:12" x14ac:dyDescent="0.25">
      <c r="A254" s="26" t="s">
        <v>226</v>
      </c>
      <c r="B254" s="14" t="s">
        <v>227</v>
      </c>
      <c r="C254" s="22" t="s">
        <v>8</v>
      </c>
      <c r="D254" s="7" t="s">
        <v>9</v>
      </c>
      <c r="E254" s="8">
        <v>40.393000000000001</v>
      </c>
      <c r="F254" s="3">
        <v>4000790</v>
      </c>
      <c r="G254" s="42">
        <f t="shared" si="3"/>
        <v>8994.3093100000006</v>
      </c>
      <c r="L254" s="4"/>
    </row>
    <row r="255" spans="1:12" x14ac:dyDescent="0.25">
      <c r="A255" s="24" t="s">
        <v>228</v>
      </c>
      <c r="B255" s="12" t="s">
        <v>229</v>
      </c>
      <c r="C255" s="19" t="s">
        <v>8</v>
      </c>
      <c r="D255" s="7" t="s">
        <v>9</v>
      </c>
      <c r="E255" s="8">
        <v>2.0666000000000002</v>
      </c>
      <c r="F255" s="3">
        <v>4001041</v>
      </c>
      <c r="G255" s="42">
        <f t="shared" si="3"/>
        <v>460.16982200000001</v>
      </c>
      <c r="L255" s="4"/>
    </row>
    <row r="256" spans="1:12" x14ac:dyDescent="0.25">
      <c r="A256" s="27"/>
      <c r="B256" s="15"/>
      <c r="C256" s="21"/>
      <c r="D256" s="7" t="s">
        <v>37</v>
      </c>
      <c r="E256" s="8">
        <v>1.2146999999999999</v>
      </c>
      <c r="F256" s="3">
        <v>4001042</v>
      </c>
      <c r="G256" s="42">
        <f t="shared" si="3"/>
        <v>270.47724899999997</v>
      </c>
      <c r="L256" s="4"/>
    </row>
    <row r="257" spans="1:12" x14ac:dyDescent="0.25">
      <c r="A257" s="27"/>
      <c r="B257" s="15"/>
      <c r="C257" s="21"/>
      <c r="D257" s="7" t="s">
        <v>38</v>
      </c>
      <c r="E257" s="8">
        <v>2.5832999999999999</v>
      </c>
      <c r="F257" s="3">
        <v>3000656</v>
      </c>
      <c r="G257" s="42">
        <f t="shared" si="3"/>
        <v>575.22341099999994</v>
      </c>
      <c r="L257" s="4"/>
    </row>
    <row r="258" spans="1:12" x14ac:dyDescent="0.25">
      <c r="A258" s="25"/>
      <c r="B258" s="13"/>
      <c r="C258" s="20"/>
      <c r="D258" s="7" t="s">
        <v>39</v>
      </c>
      <c r="E258" s="8">
        <v>1.7995000000000001</v>
      </c>
      <c r="F258" s="3">
        <v>4001043</v>
      </c>
      <c r="G258" s="42">
        <f t="shared" si="3"/>
        <v>400.69466499999999</v>
      </c>
      <c r="L258" s="4"/>
    </row>
    <row r="259" spans="1:12" x14ac:dyDescent="0.25">
      <c r="A259" s="24" t="s">
        <v>230</v>
      </c>
      <c r="B259" s="12" t="s">
        <v>229</v>
      </c>
      <c r="C259" s="19" t="s">
        <v>25</v>
      </c>
      <c r="D259" s="7" t="s">
        <v>9</v>
      </c>
      <c r="E259" s="8">
        <v>3.0792999999999999</v>
      </c>
      <c r="F259" s="3">
        <v>3000657</v>
      </c>
      <c r="G259" s="42">
        <f t="shared" si="3"/>
        <v>685.66773099999989</v>
      </c>
      <c r="L259" s="4"/>
    </row>
    <row r="260" spans="1:12" x14ac:dyDescent="0.25">
      <c r="A260" s="27"/>
      <c r="B260" s="15"/>
      <c r="C260" s="21"/>
      <c r="D260" s="7" t="s">
        <v>37</v>
      </c>
      <c r="E260" s="8">
        <v>2.6812999999999998</v>
      </c>
      <c r="F260" s="3">
        <v>4001044</v>
      </c>
      <c r="G260" s="42">
        <f t="shared" ref="G260:G300" si="4">E260*222.67</f>
        <v>597.04507099999989</v>
      </c>
      <c r="L260" s="4"/>
    </row>
    <row r="261" spans="1:12" x14ac:dyDescent="0.25">
      <c r="A261" s="27"/>
      <c r="B261" s="15"/>
      <c r="C261" s="21"/>
      <c r="D261" s="7" t="s">
        <v>38</v>
      </c>
      <c r="E261" s="8">
        <v>3.9923999999999999</v>
      </c>
      <c r="F261" s="3">
        <v>3000658</v>
      </c>
      <c r="G261" s="42">
        <f t="shared" si="4"/>
        <v>888.98770799999988</v>
      </c>
      <c r="L261" s="4"/>
    </row>
    <row r="262" spans="1:12" x14ac:dyDescent="0.25">
      <c r="A262" s="25"/>
      <c r="B262" s="13"/>
      <c r="C262" s="20"/>
      <c r="D262" s="7" t="s">
        <v>39</v>
      </c>
      <c r="E262" s="8">
        <v>2.5358000000000001</v>
      </c>
      <c r="F262" s="3">
        <v>4001045</v>
      </c>
      <c r="G262" s="42">
        <f t="shared" si="4"/>
        <v>564.64658599999996</v>
      </c>
      <c r="L262" s="4"/>
    </row>
    <row r="263" spans="1:12" ht="30" x14ac:dyDescent="0.25">
      <c r="A263" s="24" t="s">
        <v>231</v>
      </c>
      <c r="B263" s="12" t="s">
        <v>232</v>
      </c>
      <c r="C263" s="19" t="s">
        <v>8</v>
      </c>
      <c r="D263" s="7" t="s">
        <v>9</v>
      </c>
      <c r="E263" s="8">
        <v>6.5997000000000003</v>
      </c>
      <c r="F263" s="3">
        <v>3000660</v>
      </c>
      <c r="G263" s="42">
        <f t="shared" si="4"/>
        <v>1469.5551989999999</v>
      </c>
      <c r="L263" s="4"/>
    </row>
    <row r="264" spans="1:12" x14ac:dyDescent="0.25">
      <c r="A264" s="27"/>
      <c r="B264" s="15"/>
      <c r="C264" s="21"/>
      <c r="D264" s="7" t="s">
        <v>37</v>
      </c>
      <c r="E264" s="8">
        <v>4.3144</v>
      </c>
      <c r="F264" s="3">
        <v>4001046</v>
      </c>
      <c r="G264" s="42">
        <f t="shared" si="4"/>
        <v>960.6874479999999</v>
      </c>
      <c r="L264" s="4"/>
    </row>
    <row r="265" spans="1:12" x14ac:dyDescent="0.25">
      <c r="A265" s="27"/>
      <c r="B265" s="15"/>
      <c r="C265" s="21"/>
      <c r="D265" s="7" t="s">
        <v>38</v>
      </c>
      <c r="E265" s="8">
        <v>7.6996000000000002</v>
      </c>
      <c r="F265" s="3">
        <v>3000661</v>
      </c>
      <c r="G265" s="42">
        <f t="shared" si="4"/>
        <v>1714.469932</v>
      </c>
      <c r="L265" s="4"/>
    </row>
    <row r="266" spans="1:12" x14ac:dyDescent="0.25">
      <c r="A266" s="25"/>
      <c r="B266" s="13"/>
      <c r="C266" s="20"/>
      <c r="D266" s="7" t="s">
        <v>39</v>
      </c>
      <c r="E266" s="8">
        <v>6.0399000000000003</v>
      </c>
      <c r="F266" s="3">
        <v>4001047</v>
      </c>
      <c r="G266" s="42">
        <f t="shared" si="4"/>
        <v>1344.9045329999999</v>
      </c>
      <c r="L266" s="4"/>
    </row>
    <row r="267" spans="1:12" x14ac:dyDescent="0.25">
      <c r="A267" s="26" t="s">
        <v>233</v>
      </c>
      <c r="B267" s="16" t="s">
        <v>234</v>
      </c>
      <c r="C267" s="22" t="s">
        <v>25</v>
      </c>
      <c r="D267" s="7" t="s">
        <v>38</v>
      </c>
      <c r="E267" s="8">
        <v>3.7574999999999998</v>
      </c>
      <c r="F267" s="3">
        <v>3000663</v>
      </c>
      <c r="G267" s="42">
        <f t="shared" si="4"/>
        <v>836.68252499999994</v>
      </c>
      <c r="L267" s="4"/>
    </row>
    <row r="268" spans="1:12" x14ac:dyDescent="0.25">
      <c r="A268" s="24" t="s">
        <v>235</v>
      </c>
      <c r="B268" s="12" t="s">
        <v>236</v>
      </c>
      <c r="C268" s="19" t="s">
        <v>8</v>
      </c>
      <c r="D268" s="7" t="s">
        <v>9</v>
      </c>
      <c r="E268" s="8">
        <v>2.3616000000000001</v>
      </c>
      <c r="F268" s="3">
        <v>4000330</v>
      </c>
      <c r="G268" s="42">
        <f t="shared" si="4"/>
        <v>525.85747200000003</v>
      </c>
      <c r="L268" s="4"/>
    </row>
    <row r="269" spans="1:12" x14ac:dyDescent="0.25">
      <c r="A269" s="27"/>
      <c r="B269" s="15"/>
      <c r="C269" s="21"/>
      <c r="D269" s="7" t="s">
        <v>37</v>
      </c>
      <c r="E269" s="8">
        <v>1.3884000000000001</v>
      </c>
      <c r="F269" s="3">
        <v>4001048</v>
      </c>
      <c r="G269" s="42">
        <f t="shared" si="4"/>
        <v>309.15502800000002</v>
      </c>
      <c r="L269" s="4"/>
    </row>
    <row r="270" spans="1:12" x14ac:dyDescent="0.25">
      <c r="A270" s="27"/>
      <c r="B270" s="15"/>
      <c r="C270" s="21"/>
      <c r="D270" s="7" t="s">
        <v>38</v>
      </c>
      <c r="E270" s="8">
        <v>2.9521000000000002</v>
      </c>
      <c r="F270" s="3">
        <v>4000331</v>
      </c>
      <c r="G270" s="42">
        <f t="shared" si="4"/>
        <v>657.34410700000001</v>
      </c>
      <c r="L270" s="4"/>
    </row>
    <row r="271" spans="1:12" x14ac:dyDescent="0.25">
      <c r="A271" s="25"/>
      <c r="B271" s="13"/>
      <c r="C271" s="20"/>
      <c r="D271" s="7" t="s">
        <v>39</v>
      </c>
      <c r="E271" s="8">
        <v>2.0566</v>
      </c>
      <c r="F271" s="3">
        <v>4001049</v>
      </c>
      <c r="G271" s="42">
        <f t="shared" si="4"/>
        <v>457.94312199999996</v>
      </c>
      <c r="L271" s="4"/>
    </row>
    <row r="272" spans="1:12" x14ac:dyDescent="0.25">
      <c r="A272" s="26" t="s">
        <v>237</v>
      </c>
      <c r="B272" s="16" t="s">
        <v>238</v>
      </c>
      <c r="C272" s="22" t="s">
        <v>25</v>
      </c>
      <c r="D272" s="7" t="s">
        <v>9</v>
      </c>
      <c r="E272" s="8">
        <v>2.9325999999999999</v>
      </c>
      <c r="F272" s="3">
        <v>3000655</v>
      </c>
      <c r="G272" s="42">
        <f t="shared" si="4"/>
        <v>653.00204199999996</v>
      </c>
      <c r="L272" s="4"/>
    </row>
    <row r="273" spans="1:12" x14ac:dyDescent="0.25">
      <c r="A273" s="24" t="s">
        <v>239</v>
      </c>
      <c r="B273" s="12" t="s">
        <v>240</v>
      </c>
      <c r="C273" s="19" t="s">
        <v>8</v>
      </c>
      <c r="D273" s="7" t="s">
        <v>9</v>
      </c>
      <c r="E273" s="8">
        <v>0.43990000000000001</v>
      </c>
      <c r="F273" s="3">
        <v>4000643</v>
      </c>
      <c r="G273" s="42">
        <f t="shared" si="4"/>
        <v>97.952533000000003</v>
      </c>
      <c r="L273" s="4"/>
    </row>
    <row r="274" spans="1:12" x14ac:dyDescent="0.25">
      <c r="A274" s="25"/>
      <c r="B274" s="13"/>
      <c r="C274" s="20"/>
      <c r="D274" s="7" t="s">
        <v>38</v>
      </c>
      <c r="E274" s="8">
        <v>0.57369999999999999</v>
      </c>
      <c r="F274" s="3">
        <v>4000644</v>
      </c>
      <c r="G274" s="42">
        <f t="shared" si="4"/>
        <v>127.74577899999998</v>
      </c>
      <c r="L274" s="4"/>
    </row>
    <row r="275" spans="1:12" x14ac:dyDescent="0.25">
      <c r="A275" s="26" t="s">
        <v>241</v>
      </c>
      <c r="B275" s="16" t="s">
        <v>242</v>
      </c>
      <c r="C275" s="22" t="s">
        <v>8</v>
      </c>
      <c r="D275" s="7" t="s">
        <v>9</v>
      </c>
      <c r="E275" s="8">
        <v>12.321999999999999</v>
      </c>
      <c r="F275" s="3">
        <v>4000680</v>
      </c>
      <c r="G275" s="42">
        <f t="shared" si="4"/>
        <v>2743.7397399999995</v>
      </c>
      <c r="L275" s="4"/>
    </row>
    <row r="276" spans="1:12" x14ac:dyDescent="0.25">
      <c r="A276" s="26" t="s">
        <v>243</v>
      </c>
      <c r="B276" s="16" t="s">
        <v>244</v>
      </c>
      <c r="C276" s="22" t="s">
        <v>8</v>
      </c>
      <c r="D276" s="7" t="s">
        <v>9</v>
      </c>
      <c r="E276" s="8">
        <v>3.1446000000000001</v>
      </c>
      <c r="F276" s="3">
        <v>4001320</v>
      </c>
      <c r="G276" s="42">
        <f t="shared" si="4"/>
        <v>700.20808199999999</v>
      </c>
      <c r="L276" s="4"/>
    </row>
    <row r="277" spans="1:12" ht="15" customHeight="1" x14ac:dyDescent="0.25">
      <c r="A277" s="41" t="s">
        <v>264</v>
      </c>
      <c r="B277" s="40"/>
      <c r="C277" s="40"/>
      <c r="D277" s="40"/>
      <c r="E277" s="40"/>
      <c r="F277" s="40"/>
      <c r="G277" s="42"/>
      <c r="L277" s="6"/>
    </row>
    <row r="278" spans="1:12" x14ac:dyDescent="0.25">
      <c r="A278" s="24" t="s">
        <v>245</v>
      </c>
      <c r="B278" s="16" t="s">
        <v>246</v>
      </c>
      <c r="C278" s="22" t="s">
        <v>247</v>
      </c>
      <c r="D278" s="7" t="s">
        <v>248</v>
      </c>
      <c r="E278" s="8">
        <v>0.79159999999999997</v>
      </c>
      <c r="F278" s="3">
        <v>4000081</v>
      </c>
      <c r="G278" s="42">
        <f t="shared" si="4"/>
        <v>176.26557199999999</v>
      </c>
      <c r="L278" s="4"/>
    </row>
    <row r="279" spans="1:12" x14ac:dyDescent="0.25">
      <c r="A279" s="27"/>
      <c r="B279" s="16" t="s">
        <v>249</v>
      </c>
      <c r="C279" s="22" t="s">
        <v>247</v>
      </c>
      <c r="D279" s="7" t="s">
        <v>248</v>
      </c>
      <c r="E279" s="8">
        <v>0.60029999999999994</v>
      </c>
      <c r="F279" s="3">
        <v>4000082</v>
      </c>
      <c r="G279" s="42">
        <f t="shared" si="4"/>
        <v>133.66880099999997</v>
      </c>
      <c r="L279" s="4"/>
    </row>
    <row r="280" spans="1:12" x14ac:dyDescent="0.25">
      <c r="A280" s="27"/>
      <c r="B280" s="16" t="s">
        <v>250</v>
      </c>
      <c r="C280" s="22" t="s">
        <v>247</v>
      </c>
      <c r="D280" s="7" t="s">
        <v>248</v>
      </c>
      <c r="E280" s="8">
        <v>0.38419999999999999</v>
      </c>
      <c r="F280" s="3">
        <v>4000083</v>
      </c>
      <c r="G280" s="42">
        <f t="shared" si="4"/>
        <v>85.549813999999998</v>
      </c>
      <c r="L280" s="4"/>
    </row>
    <row r="281" spans="1:12" x14ac:dyDescent="0.25">
      <c r="A281" s="25"/>
      <c r="B281" s="16" t="s">
        <v>251</v>
      </c>
      <c r="C281" s="22" t="s">
        <v>247</v>
      </c>
      <c r="D281" s="7" t="s">
        <v>248</v>
      </c>
      <c r="E281" s="8">
        <v>0.57550000000000001</v>
      </c>
      <c r="F281" s="3">
        <v>4000084</v>
      </c>
      <c r="G281" s="42">
        <f t="shared" si="4"/>
        <v>128.14658499999999</v>
      </c>
      <c r="L281" s="4"/>
    </row>
    <row r="282" spans="1:12" ht="15" customHeight="1" x14ac:dyDescent="0.25">
      <c r="A282" s="41" t="s">
        <v>265</v>
      </c>
      <c r="B282" s="40"/>
      <c r="C282" s="40"/>
      <c r="D282" s="40"/>
      <c r="E282" s="40"/>
      <c r="F282" s="40"/>
      <c r="G282" s="42"/>
      <c r="L282" s="6"/>
    </row>
    <row r="283" spans="1:12" x14ac:dyDescent="0.25">
      <c r="A283" s="26" t="s">
        <v>253</v>
      </c>
      <c r="B283" s="16" t="s">
        <v>254</v>
      </c>
      <c r="C283" s="22" t="s">
        <v>25</v>
      </c>
      <c r="D283" s="7" t="s">
        <v>9</v>
      </c>
      <c r="E283" s="8">
        <v>0.51280000000000003</v>
      </c>
      <c r="F283" s="3">
        <v>4000340</v>
      </c>
      <c r="G283" s="42">
        <f t="shared" si="4"/>
        <v>114.185176</v>
      </c>
      <c r="L283" s="4"/>
    </row>
    <row r="284" spans="1:12" ht="15" customHeight="1" x14ac:dyDescent="0.25">
      <c r="A284" s="41" t="s">
        <v>266</v>
      </c>
      <c r="B284" s="40"/>
      <c r="C284" s="40"/>
      <c r="D284" s="40"/>
      <c r="E284" s="40"/>
      <c r="F284" s="40"/>
      <c r="G284" s="42"/>
      <c r="L284" s="6"/>
    </row>
    <row r="285" spans="1:12" x14ac:dyDescent="0.25">
      <c r="A285" s="24" t="s">
        <v>256</v>
      </c>
      <c r="B285" s="12" t="s">
        <v>257</v>
      </c>
      <c r="C285" s="19" t="s">
        <v>53</v>
      </c>
      <c r="D285" s="7" t="s">
        <v>9</v>
      </c>
      <c r="E285" s="8">
        <v>0.14399999999999999</v>
      </c>
      <c r="F285" s="3">
        <v>4000870</v>
      </c>
      <c r="G285" s="42">
        <f t="shared" si="4"/>
        <v>32.064479999999996</v>
      </c>
      <c r="L285" s="4"/>
    </row>
    <row r="286" spans="1:12" x14ac:dyDescent="0.25">
      <c r="A286" s="27"/>
      <c r="B286" s="15"/>
      <c r="C286" s="21"/>
      <c r="D286" s="7" t="s">
        <v>37</v>
      </c>
      <c r="E286" s="8">
        <v>7.9200000000000007E-2</v>
      </c>
      <c r="F286" s="3">
        <v>4000871</v>
      </c>
      <c r="G286" s="42">
        <f t="shared" si="4"/>
        <v>17.635463999999999</v>
      </c>
      <c r="L286" s="4"/>
    </row>
    <row r="287" spans="1:12" x14ac:dyDescent="0.25">
      <c r="A287" s="27"/>
      <c r="B287" s="15"/>
      <c r="C287" s="21"/>
      <c r="D287" s="7" t="s">
        <v>38</v>
      </c>
      <c r="E287" s="8">
        <v>0.1699</v>
      </c>
      <c r="F287" s="3">
        <v>4000873</v>
      </c>
      <c r="G287" s="42">
        <f t="shared" si="4"/>
        <v>37.831632999999997</v>
      </c>
      <c r="L287" s="4"/>
    </row>
    <row r="288" spans="1:12" x14ac:dyDescent="0.25">
      <c r="A288" s="25"/>
      <c r="B288" s="13"/>
      <c r="C288" s="20"/>
      <c r="D288" s="7" t="s">
        <v>39</v>
      </c>
      <c r="E288" s="8">
        <v>8.3400000000000002E-2</v>
      </c>
      <c r="F288" s="3">
        <v>4000872</v>
      </c>
      <c r="G288" s="42">
        <f t="shared" si="4"/>
        <v>18.570678000000001</v>
      </c>
      <c r="L288" s="4"/>
    </row>
    <row r="289" spans="1:12" x14ac:dyDescent="0.25">
      <c r="A289" s="24" t="s">
        <v>258</v>
      </c>
      <c r="B289" s="12" t="s">
        <v>259</v>
      </c>
      <c r="C289" s="19" t="s">
        <v>8</v>
      </c>
      <c r="D289" s="7" t="s">
        <v>9</v>
      </c>
      <c r="E289" s="8">
        <v>1.1028</v>
      </c>
      <c r="F289" s="3">
        <v>4000874</v>
      </c>
      <c r="G289" s="42">
        <f t="shared" si="4"/>
        <v>245.56047599999999</v>
      </c>
      <c r="L289" s="4"/>
    </row>
    <row r="290" spans="1:12" x14ac:dyDescent="0.25">
      <c r="A290" s="27"/>
      <c r="B290" s="15"/>
      <c r="C290" s="21"/>
      <c r="D290" s="7" t="s">
        <v>37</v>
      </c>
      <c r="E290" s="8">
        <v>0.64770000000000005</v>
      </c>
      <c r="F290" s="3">
        <v>4000875</v>
      </c>
      <c r="G290" s="42">
        <f t="shared" si="4"/>
        <v>144.22335900000002</v>
      </c>
      <c r="L290" s="4"/>
    </row>
    <row r="291" spans="1:12" x14ac:dyDescent="0.25">
      <c r="A291" s="27"/>
      <c r="B291" s="15"/>
      <c r="C291" s="21"/>
      <c r="D291" s="7" t="s">
        <v>38</v>
      </c>
      <c r="E291" s="8">
        <v>1.7372000000000001</v>
      </c>
      <c r="F291" s="3">
        <v>4000876</v>
      </c>
      <c r="G291" s="42">
        <f t="shared" si="4"/>
        <v>386.82232399999998</v>
      </c>
      <c r="L291" s="4"/>
    </row>
    <row r="292" spans="1:12" x14ac:dyDescent="0.25">
      <c r="A292" s="25"/>
      <c r="B292" s="13"/>
      <c r="C292" s="20"/>
      <c r="D292" s="7" t="s">
        <v>39</v>
      </c>
      <c r="E292" s="8">
        <v>0.94840000000000002</v>
      </c>
      <c r="F292" s="3">
        <v>4000877</v>
      </c>
      <c r="G292" s="42">
        <f t="shared" si="4"/>
        <v>211.180228</v>
      </c>
      <c r="L292" s="4"/>
    </row>
    <row r="293" spans="1:12" x14ac:dyDescent="0.25">
      <c r="A293" s="24" t="s">
        <v>260</v>
      </c>
      <c r="B293" s="12" t="s">
        <v>261</v>
      </c>
      <c r="C293" s="19" t="s">
        <v>8</v>
      </c>
      <c r="D293" s="7" t="s">
        <v>9</v>
      </c>
      <c r="E293" s="8">
        <v>2.1137999999999999</v>
      </c>
      <c r="F293" s="3">
        <v>4000878</v>
      </c>
      <c r="G293" s="42">
        <f t="shared" si="4"/>
        <v>470.67984599999994</v>
      </c>
      <c r="L293" s="4"/>
    </row>
    <row r="294" spans="1:12" x14ac:dyDescent="0.25">
      <c r="A294" s="27"/>
      <c r="B294" s="15"/>
      <c r="C294" s="21"/>
      <c r="D294" s="7" t="s">
        <v>37</v>
      </c>
      <c r="E294" s="8">
        <v>1.2414000000000001</v>
      </c>
      <c r="F294" s="3">
        <v>4000879</v>
      </c>
      <c r="G294" s="42">
        <f t="shared" si="4"/>
        <v>276.42253799999997</v>
      </c>
      <c r="L294" s="4"/>
    </row>
    <row r="295" spans="1:12" x14ac:dyDescent="0.25">
      <c r="A295" s="27"/>
      <c r="B295" s="15"/>
      <c r="C295" s="21"/>
      <c r="D295" s="7" t="s">
        <v>38</v>
      </c>
      <c r="E295" s="8">
        <v>3.3298000000000001</v>
      </c>
      <c r="F295" s="3">
        <v>4000881</v>
      </c>
      <c r="G295" s="42">
        <f t="shared" si="4"/>
        <v>741.44656599999996</v>
      </c>
      <c r="L295" s="4"/>
    </row>
    <row r="296" spans="1:12" x14ac:dyDescent="0.25">
      <c r="A296" s="25"/>
      <c r="B296" s="13"/>
      <c r="C296" s="20"/>
      <c r="D296" s="7" t="s">
        <v>39</v>
      </c>
      <c r="E296" s="8">
        <v>1.8179000000000001</v>
      </c>
      <c r="F296" s="3">
        <v>4000880</v>
      </c>
      <c r="G296" s="42">
        <f t="shared" si="4"/>
        <v>404.79179299999998</v>
      </c>
      <c r="L296" s="4"/>
    </row>
    <row r="297" spans="1:12" x14ac:dyDescent="0.25">
      <c r="A297" s="24" t="s">
        <v>262</v>
      </c>
      <c r="B297" s="12" t="s">
        <v>263</v>
      </c>
      <c r="C297" s="19" t="s">
        <v>8</v>
      </c>
      <c r="D297" s="7" t="s">
        <v>9</v>
      </c>
      <c r="E297" s="8">
        <v>0.49980000000000002</v>
      </c>
      <c r="F297" s="3">
        <v>4000882</v>
      </c>
      <c r="G297" s="42">
        <f t="shared" si="4"/>
        <v>111.290466</v>
      </c>
      <c r="L297" s="4"/>
    </row>
    <row r="298" spans="1:12" x14ac:dyDescent="0.25">
      <c r="A298" s="27"/>
      <c r="B298" s="15"/>
      <c r="C298" s="21"/>
      <c r="D298" s="7" t="s">
        <v>37</v>
      </c>
      <c r="E298" s="8">
        <v>0.38869999999999999</v>
      </c>
      <c r="F298" s="3">
        <v>4000883</v>
      </c>
      <c r="G298" s="42">
        <f t="shared" si="4"/>
        <v>86.551828999999998</v>
      </c>
      <c r="L298" s="4"/>
    </row>
    <row r="299" spans="1:12" x14ac:dyDescent="0.25">
      <c r="A299" s="27"/>
      <c r="B299" s="15"/>
      <c r="C299" s="21"/>
      <c r="D299" s="7" t="s">
        <v>38</v>
      </c>
      <c r="E299" s="8">
        <v>0.55530000000000002</v>
      </c>
      <c r="F299" s="3">
        <v>4000885</v>
      </c>
      <c r="G299" s="42">
        <f t="shared" si="4"/>
        <v>123.648651</v>
      </c>
      <c r="L299" s="4"/>
    </row>
    <row r="300" spans="1:12" x14ac:dyDescent="0.25">
      <c r="A300" s="25"/>
      <c r="B300" s="13"/>
      <c r="C300" s="20"/>
      <c r="D300" s="7" t="s">
        <v>39</v>
      </c>
      <c r="E300" s="8">
        <v>0.36099999999999999</v>
      </c>
      <c r="F300" s="3">
        <v>4000884</v>
      </c>
      <c r="G300" s="42">
        <f t="shared" si="4"/>
        <v>80.383869999999987</v>
      </c>
      <c r="L300" s="4"/>
    </row>
    <row r="301" spans="1:12" x14ac:dyDescent="0.25">
      <c r="D301" s="9"/>
      <c r="E301" s="9"/>
      <c r="F301" s="9"/>
      <c r="G301" s="44"/>
    </row>
    <row r="302" spans="1:12" x14ac:dyDescent="0.25">
      <c r="D302" s="9"/>
      <c r="E302" s="9"/>
      <c r="F302" s="9"/>
      <c r="G302" s="44"/>
    </row>
  </sheetData>
  <autoFilter ref="A1:G300" xr:uid="{FE8EB79D-DAA5-40EF-849D-B687170B6A1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60A8-5F09-4488-8440-C15C30599187}">
  <dimension ref="A1:G173"/>
  <sheetViews>
    <sheetView workbookViewId="0">
      <selection sqref="A1:XFD1"/>
    </sheetView>
  </sheetViews>
  <sheetFormatPr defaultRowHeight="15" x14ac:dyDescent="0.25"/>
  <cols>
    <col min="1" max="1" width="5.5703125" style="23" bestFit="1" customWidth="1"/>
    <col min="2" max="2" width="61.42578125" style="17" bestFit="1" customWidth="1"/>
    <col min="3" max="3" width="9.140625" style="28" bestFit="1" customWidth="1"/>
    <col min="4" max="4" width="13.85546875" style="28" bestFit="1" customWidth="1"/>
    <col min="5" max="5" width="11" style="28" bestFit="1" customWidth="1"/>
    <col min="6" max="6" width="18.140625" style="28" bestFit="1" customWidth="1"/>
    <col min="7" max="16384" width="9.140625" style="4"/>
  </cols>
  <sheetData>
    <row r="1" spans="1:7" ht="29.25" customHeight="1" x14ac:dyDescent="0.25">
      <c r="A1" s="29" t="s">
        <v>0</v>
      </c>
      <c r="B1" s="10" t="s">
        <v>267</v>
      </c>
      <c r="C1" s="10" t="s">
        <v>2</v>
      </c>
      <c r="D1" s="10" t="s">
        <v>3</v>
      </c>
      <c r="E1" s="10" t="s">
        <v>4</v>
      </c>
      <c r="F1" s="36" t="s">
        <v>76</v>
      </c>
    </row>
    <row r="2" spans="1:7" x14ac:dyDescent="0.25">
      <c r="A2" s="46" t="s">
        <v>268</v>
      </c>
      <c r="B2" s="46"/>
      <c r="C2" s="46"/>
      <c r="D2" s="46"/>
      <c r="E2" s="46"/>
      <c r="F2" s="46"/>
      <c r="G2" s="46"/>
    </row>
    <row r="3" spans="1:7" x14ac:dyDescent="0.25">
      <c r="A3" s="18" t="s">
        <v>6</v>
      </c>
      <c r="B3" s="11" t="s">
        <v>269</v>
      </c>
      <c r="C3" s="1" t="s">
        <v>8</v>
      </c>
      <c r="D3" s="1" t="s">
        <v>270</v>
      </c>
      <c r="E3" s="31">
        <v>0.27229999999999999</v>
      </c>
      <c r="F3" s="3">
        <v>3000400</v>
      </c>
    </row>
    <row r="4" spans="1:7" x14ac:dyDescent="0.25">
      <c r="A4" s="18" t="s">
        <v>10</v>
      </c>
      <c r="B4" s="11" t="s">
        <v>271</v>
      </c>
      <c r="C4" s="1" t="s">
        <v>8</v>
      </c>
      <c r="D4" s="1" t="s">
        <v>270</v>
      </c>
      <c r="E4" s="31">
        <v>0.6381</v>
      </c>
      <c r="F4" s="3">
        <v>3000401</v>
      </c>
    </row>
    <row r="5" spans="1:7" x14ac:dyDescent="0.25">
      <c r="A5" s="18" t="s">
        <v>12</v>
      </c>
      <c r="B5" s="11" t="s">
        <v>272</v>
      </c>
      <c r="C5" s="1" t="s">
        <v>8</v>
      </c>
      <c r="D5" s="1" t="s">
        <v>270</v>
      </c>
      <c r="E5" s="31">
        <v>0.35680000000000001</v>
      </c>
      <c r="F5" s="3">
        <v>3000402</v>
      </c>
    </row>
    <row r="6" spans="1:7" x14ac:dyDescent="0.25">
      <c r="A6" s="18" t="s">
        <v>14</v>
      </c>
      <c r="B6" s="30" t="s">
        <v>273</v>
      </c>
      <c r="C6" s="1" t="s">
        <v>16</v>
      </c>
      <c r="D6" s="1" t="s">
        <v>270</v>
      </c>
      <c r="E6" s="31">
        <v>7.5800000000000006E-2</v>
      </c>
      <c r="F6" s="3">
        <v>3000403</v>
      </c>
    </row>
    <row r="7" spans="1:7" x14ac:dyDescent="0.25">
      <c r="A7" s="18" t="s">
        <v>17</v>
      </c>
      <c r="B7" s="30" t="s">
        <v>274</v>
      </c>
      <c r="C7" s="1" t="s">
        <v>16</v>
      </c>
      <c r="D7" s="1" t="s">
        <v>270</v>
      </c>
      <c r="E7" s="31">
        <v>3.6400000000000002E-2</v>
      </c>
      <c r="F7" s="3">
        <v>3000404</v>
      </c>
    </row>
    <row r="8" spans="1:7" x14ac:dyDescent="0.25">
      <c r="A8" s="47" t="s">
        <v>275</v>
      </c>
      <c r="B8" s="47"/>
      <c r="C8" s="47"/>
      <c r="D8" s="48"/>
      <c r="E8" s="32"/>
      <c r="F8" s="33"/>
    </row>
    <row r="9" spans="1:7" x14ac:dyDescent="0.25">
      <c r="A9" s="18" t="s">
        <v>23</v>
      </c>
      <c r="B9" s="11" t="s">
        <v>24</v>
      </c>
      <c r="C9" s="1" t="s">
        <v>25</v>
      </c>
      <c r="D9" s="1" t="s">
        <v>270</v>
      </c>
      <c r="E9" s="31">
        <v>1.5186999999999999</v>
      </c>
      <c r="F9" s="3">
        <v>3000407</v>
      </c>
    </row>
    <row r="10" spans="1:7" x14ac:dyDescent="0.25">
      <c r="A10" s="18" t="s">
        <v>26</v>
      </c>
      <c r="B10" s="11" t="s">
        <v>27</v>
      </c>
      <c r="C10" s="1" t="s">
        <v>25</v>
      </c>
      <c r="D10" s="1" t="s">
        <v>270</v>
      </c>
      <c r="E10" s="31">
        <v>0.91120000000000001</v>
      </c>
      <c r="F10" s="3">
        <v>4000820</v>
      </c>
    </row>
    <row r="11" spans="1:7" x14ac:dyDescent="0.25">
      <c r="A11" s="18" t="s">
        <v>28</v>
      </c>
      <c r="B11" s="11" t="s">
        <v>29</v>
      </c>
      <c r="C11" s="1" t="s">
        <v>25</v>
      </c>
      <c r="D11" s="1" t="s">
        <v>270</v>
      </c>
      <c r="E11" s="31">
        <v>0.60750000000000004</v>
      </c>
      <c r="F11" s="3">
        <v>4000821</v>
      </c>
    </row>
    <row r="12" spans="1:7" x14ac:dyDescent="0.25">
      <c r="A12" s="18" t="s">
        <v>30</v>
      </c>
      <c r="B12" s="11" t="s">
        <v>31</v>
      </c>
      <c r="C12" s="1" t="s">
        <v>25</v>
      </c>
      <c r="D12" s="1" t="s">
        <v>270</v>
      </c>
      <c r="E12" s="31">
        <v>2.8973</v>
      </c>
      <c r="F12" s="3">
        <v>3000408</v>
      </c>
    </row>
    <row r="13" spans="1:7" x14ac:dyDescent="0.25">
      <c r="A13" s="46" t="s">
        <v>276</v>
      </c>
      <c r="B13" s="46"/>
      <c r="C13" s="46"/>
      <c r="D13" s="46"/>
      <c r="E13" s="46"/>
      <c r="F13" s="46"/>
      <c r="G13" s="46"/>
    </row>
    <row r="14" spans="1:7" x14ac:dyDescent="0.25">
      <c r="A14" s="18" t="s">
        <v>44</v>
      </c>
      <c r="B14" s="11" t="s">
        <v>45</v>
      </c>
      <c r="C14" s="1" t="s">
        <v>8</v>
      </c>
      <c r="D14" s="1" t="s">
        <v>277</v>
      </c>
      <c r="E14" s="31">
        <v>2.1071</v>
      </c>
      <c r="F14" s="3">
        <v>3000423</v>
      </c>
    </row>
    <row r="15" spans="1:7" x14ac:dyDescent="0.25">
      <c r="A15" s="18" t="s">
        <v>46</v>
      </c>
      <c r="B15" s="11" t="s">
        <v>47</v>
      </c>
      <c r="C15" s="1" t="s">
        <v>8</v>
      </c>
      <c r="D15" s="1" t="s">
        <v>277</v>
      </c>
      <c r="E15" s="31">
        <v>1.8436999999999999</v>
      </c>
      <c r="F15" s="3">
        <v>3000424</v>
      </c>
    </row>
    <row r="16" spans="1:7" x14ac:dyDescent="0.25">
      <c r="A16" s="18" t="s">
        <v>48</v>
      </c>
      <c r="B16" s="11" t="s">
        <v>278</v>
      </c>
      <c r="C16" s="1" t="s">
        <v>25</v>
      </c>
      <c r="D16" s="1" t="s">
        <v>277</v>
      </c>
      <c r="E16" s="31">
        <v>1.2643</v>
      </c>
      <c r="F16" s="3">
        <v>3000642</v>
      </c>
    </row>
    <row r="17" spans="1:7" x14ac:dyDescent="0.25">
      <c r="A17" s="46" t="s">
        <v>279</v>
      </c>
      <c r="B17" s="46"/>
      <c r="C17" s="46"/>
      <c r="D17" s="46"/>
      <c r="E17" s="46"/>
      <c r="F17" s="46"/>
      <c r="G17" s="46"/>
    </row>
    <row r="18" spans="1:7" x14ac:dyDescent="0.25">
      <c r="A18" s="49" t="s">
        <v>51</v>
      </c>
      <c r="B18" s="52" t="s">
        <v>52</v>
      </c>
      <c r="C18" s="55" t="s">
        <v>53</v>
      </c>
      <c r="D18" s="1" t="s">
        <v>270</v>
      </c>
      <c r="E18" s="31">
        <v>1.84E-2</v>
      </c>
      <c r="F18" s="3">
        <v>3000425</v>
      </c>
    </row>
    <row r="19" spans="1:7" x14ac:dyDescent="0.25">
      <c r="A19" s="50"/>
      <c r="B19" s="53"/>
      <c r="C19" s="56"/>
      <c r="D19" s="1" t="s">
        <v>280</v>
      </c>
      <c r="E19" s="31">
        <v>8.3000000000000001E-3</v>
      </c>
      <c r="F19" s="3">
        <v>3000426</v>
      </c>
    </row>
    <row r="20" spans="1:7" x14ac:dyDescent="0.25">
      <c r="A20" s="50"/>
      <c r="B20" s="53"/>
      <c r="C20" s="56"/>
      <c r="D20" s="1" t="s">
        <v>277</v>
      </c>
      <c r="E20" s="31">
        <v>1.8700000000000001E-2</v>
      </c>
      <c r="F20" s="3">
        <v>3000427</v>
      </c>
    </row>
    <row r="21" spans="1:7" x14ac:dyDescent="0.25">
      <c r="A21" s="51"/>
      <c r="B21" s="54"/>
      <c r="C21" s="57"/>
      <c r="D21" s="1" t="s">
        <v>281</v>
      </c>
      <c r="E21" s="31">
        <v>9.1999999999999998E-3</v>
      </c>
      <c r="F21" s="3">
        <v>3000428</v>
      </c>
    </row>
    <row r="22" spans="1:7" x14ac:dyDescent="0.25">
      <c r="A22" s="18" t="s">
        <v>54</v>
      </c>
      <c r="B22" s="11" t="s">
        <v>55</v>
      </c>
      <c r="C22" s="1" t="s">
        <v>8</v>
      </c>
      <c r="D22" s="1" t="s">
        <v>270</v>
      </c>
      <c r="E22" s="31">
        <v>0.52680000000000005</v>
      </c>
      <c r="F22" s="3">
        <v>3000429</v>
      </c>
    </row>
    <row r="23" spans="1:7" x14ac:dyDescent="0.25">
      <c r="A23" s="18" t="s">
        <v>56</v>
      </c>
      <c r="B23" s="11" t="s">
        <v>57</v>
      </c>
      <c r="C23" s="1" t="s">
        <v>8</v>
      </c>
      <c r="D23" s="1" t="s">
        <v>270</v>
      </c>
      <c r="E23" s="31">
        <v>0.26340000000000002</v>
      </c>
      <c r="F23" s="3">
        <v>3000430</v>
      </c>
    </row>
    <row r="24" spans="1:7" x14ac:dyDescent="0.25">
      <c r="A24" s="49" t="s">
        <v>58</v>
      </c>
      <c r="B24" s="52" t="s">
        <v>59</v>
      </c>
      <c r="C24" s="1" t="s">
        <v>8</v>
      </c>
      <c r="D24" s="1" t="s">
        <v>270</v>
      </c>
      <c r="E24" s="31">
        <v>0.31609999999999999</v>
      </c>
      <c r="F24" s="3">
        <v>3000431</v>
      </c>
    </row>
    <row r="25" spans="1:7" x14ac:dyDescent="0.25">
      <c r="A25" s="50"/>
      <c r="B25" s="53"/>
      <c r="C25" s="1" t="s">
        <v>8</v>
      </c>
      <c r="D25" s="1" t="s">
        <v>280</v>
      </c>
      <c r="E25" s="31">
        <v>0.2107</v>
      </c>
      <c r="F25" s="3">
        <v>3000432</v>
      </c>
    </row>
    <row r="26" spans="1:7" x14ac:dyDescent="0.25">
      <c r="A26" s="51"/>
      <c r="B26" s="54"/>
      <c r="C26" s="1" t="s">
        <v>8</v>
      </c>
      <c r="D26" s="1" t="s">
        <v>277</v>
      </c>
      <c r="E26" s="31">
        <v>0.4214</v>
      </c>
      <c r="F26" s="3">
        <v>3000433</v>
      </c>
    </row>
    <row r="27" spans="1:7" x14ac:dyDescent="0.25">
      <c r="A27" s="18" t="s">
        <v>60</v>
      </c>
      <c r="B27" s="11" t="s">
        <v>61</v>
      </c>
      <c r="C27" s="1" t="s">
        <v>25</v>
      </c>
      <c r="D27" s="1" t="s">
        <v>270</v>
      </c>
      <c r="E27" s="31">
        <v>0.6321</v>
      </c>
      <c r="F27" s="3">
        <v>3000434</v>
      </c>
    </row>
    <row r="28" spans="1:7" x14ac:dyDescent="0.25">
      <c r="A28" s="18" t="s">
        <v>62</v>
      </c>
      <c r="B28" s="11" t="s">
        <v>63</v>
      </c>
      <c r="C28" s="1" t="s">
        <v>8</v>
      </c>
      <c r="D28" s="1" t="s">
        <v>270</v>
      </c>
      <c r="E28" s="31">
        <v>0.36870000000000003</v>
      </c>
      <c r="F28" s="3">
        <v>3000435</v>
      </c>
    </row>
    <row r="29" spans="1:7" x14ac:dyDescent="0.25">
      <c r="A29" s="18" t="s">
        <v>282</v>
      </c>
      <c r="B29" s="11" t="s">
        <v>283</v>
      </c>
      <c r="C29" s="1" t="s">
        <v>8</v>
      </c>
      <c r="D29" s="1" t="s">
        <v>270</v>
      </c>
      <c r="E29" s="31">
        <v>6.8235000000000001</v>
      </c>
      <c r="F29" s="3">
        <v>4000724</v>
      </c>
    </row>
    <row r="30" spans="1:7" x14ac:dyDescent="0.25">
      <c r="A30" s="18" t="s">
        <v>64</v>
      </c>
      <c r="B30" s="11" t="s">
        <v>65</v>
      </c>
      <c r="C30" s="1" t="s">
        <v>8</v>
      </c>
      <c r="D30" s="1" t="s">
        <v>270</v>
      </c>
      <c r="E30" s="31">
        <v>0.26340000000000002</v>
      </c>
      <c r="F30" s="3">
        <v>3000436</v>
      </c>
    </row>
    <row r="31" spans="1:7" x14ac:dyDescent="0.25">
      <c r="A31" s="18" t="s">
        <v>66</v>
      </c>
      <c r="B31" s="11" t="s">
        <v>67</v>
      </c>
      <c r="C31" s="1" t="s">
        <v>8</v>
      </c>
      <c r="D31" s="1" t="s">
        <v>277</v>
      </c>
      <c r="E31" s="31">
        <v>1.1589</v>
      </c>
      <c r="F31" s="3">
        <v>3000438</v>
      </c>
    </row>
    <row r="32" spans="1:7" x14ac:dyDescent="0.25">
      <c r="A32" s="18" t="s">
        <v>68</v>
      </c>
      <c r="B32" s="11" t="s">
        <v>69</v>
      </c>
      <c r="C32" s="1" t="s">
        <v>8</v>
      </c>
      <c r="D32" s="1" t="s">
        <v>277</v>
      </c>
      <c r="E32" s="31">
        <v>0.47410000000000002</v>
      </c>
      <c r="F32" s="3">
        <v>3000440</v>
      </c>
    </row>
    <row r="33" spans="1:7" x14ac:dyDescent="0.25">
      <c r="A33" s="49" t="s">
        <v>70</v>
      </c>
      <c r="B33" s="52" t="s">
        <v>284</v>
      </c>
      <c r="C33" s="1" t="s">
        <v>8</v>
      </c>
      <c r="D33" s="1" t="s">
        <v>270</v>
      </c>
      <c r="E33" s="31">
        <v>0.36870000000000003</v>
      </c>
      <c r="F33" s="3">
        <v>3000441</v>
      </c>
    </row>
    <row r="34" spans="1:7" x14ac:dyDescent="0.25">
      <c r="A34" s="50"/>
      <c r="B34" s="53"/>
      <c r="C34" s="1" t="s">
        <v>8</v>
      </c>
      <c r="D34" s="1" t="s">
        <v>280</v>
      </c>
      <c r="E34" s="31">
        <v>0.31609999999999999</v>
      </c>
      <c r="F34" s="3">
        <v>3000442</v>
      </c>
    </row>
    <row r="35" spans="1:7" x14ac:dyDescent="0.25">
      <c r="A35" s="51"/>
      <c r="B35" s="54"/>
      <c r="C35" s="1" t="s">
        <v>8</v>
      </c>
      <c r="D35" s="1" t="s">
        <v>277</v>
      </c>
      <c r="E35" s="31">
        <v>0.4214</v>
      </c>
      <c r="F35" s="3">
        <v>3000443</v>
      </c>
    </row>
    <row r="36" spans="1:7" x14ac:dyDescent="0.25">
      <c r="A36" s="18" t="s">
        <v>72</v>
      </c>
      <c r="B36" s="11" t="s">
        <v>73</v>
      </c>
      <c r="C36" s="1" t="s">
        <v>25</v>
      </c>
      <c r="D36" s="1" t="s">
        <v>280</v>
      </c>
      <c r="E36" s="31">
        <v>0.31609999999999999</v>
      </c>
      <c r="F36" s="3">
        <v>3000445</v>
      </c>
    </row>
    <row r="37" spans="1:7" x14ac:dyDescent="0.25">
      <c r="A37" s="18" t="s">
        <v>74</v>
      </c>
      <c r="B37" s="11" t="s">
        <v>75</v>
      </c>
      <c r="C37" s="1" t="s">
        <v>25</v>
      </c>
      <c r="D37" s="1" t="s">
        <v>270</v>
      </c>
      <c r="E37" s="31">
        <v>1.1062000000000001</v>
      </c>
      <c r="F37" s="3">
        <v>3000644</v>
      </c>
    </row>
    <row r="38" spans="1:7" x14ac:dyDescent="0.25">
      <c r="A38" s="46" t="s">
        <v>285</v>
      </c>
      <c r="B38" s="46"/>
      <c r="C38" s="46"/>
      <c r="D38" s="46"/>
      <c r="E38" s="46"/>
      <c r="F38" s="46"/>
      <c r="G38" s="46"/>
    </row>
    <row r="39" spans="1:7" x14ac:dyDescent="0.25">
      <c r="A39" s="49" t="s">
        <v>286</v>
      </c>
      <c r="B39" s="52" t="s">
        <v>287</v>
      </c>
      <c r="C39" s="55" t="s">
        <v>25</v>
      </c>
      <c r="D39" s="1" t="s">
        <v>270</v>
      </c>
      <c r="E39" s="31">
        <v>9.8892000000000007</v>
      </c>
      <c r="F39" s="3">
        <v>4001385</v>
      </c>
    </row>
    <row r="40" spans="1:7" x14ac:dyDescent="0.25">
      <c r="A40" s="50"/>
      <c r="B40" s="53"/>
      <c r="C40" s="56"/>
      <c r="D40" s="1" t="s">
        <v>280</v>
      </c>
      <c r="E40" s="31">
        <v>7.6916000000000002</v>
      </c>
      <c r="F40" s="3">
        <v>4001386</v>
      </c>
    </row>
    <row r="41" spans="1:7" x14ac:dyDescent="0.25">
      <c r="A41" s="50"/>
      <c r="B41" s="53"/>
      <c r="C41" s="56"/>
      <c r="D41" s="1" t="s">
        <v>277</v>
      </c>
      <c r="E41" s="31">
        <v>11.075900000000001</v>
      </c>
      <c r="F41" s="3">
        <v>4001387</v>
      </c>
    </row>
    <row r="42" spans="1:7" x14ac:dyDescent="0.25">
      <c r="A42" s="51"/>
      <c r="B42" s="54"/>
      <c r="C42" s="57"/>
      <c r="D42" s="1" t="s">
        <v>281</v>
      </c>
      <c r="E42" s="31">
        <v>9.3398000000000003</v>
      </c>
      <c r="F42" s="3">
        <v>4001388</v>
      </c>
    </row>
    <row r="43" spans="1:7" x14ac:dyDescent="0.25">
      <c r="A43" s="46" t="s">
        <v>288</v>
      </c>
      <c r="B43" s="46"/>
      <c r="C43" s="46"/>
      <c r="D43" s="46"/>
      <c r="E43" s="46"/>
      <c r="F43" s="46"/>
      <c r="G43" s="46"/>
    </row>
    <row r="44" spans="1:7" x14ac:dyDescent="0.25">
      <c r="A44" s="18" t="s">
        <v>100</v>
      </c>
      <c r="B44" s="11" t="s">
        <v>101</v>
      </c>
      <c r="C44" s="1" t="s">
        <v>25</v>
      </c>
      <c r="D44" s="1" t="s">
        <v>277</v>
      </c>
      <c r="E44" s="31">
        <v>3.1606000000000001</v>
      </c>
      <c r="F44" s="3">
        <v>3000471</v>
      </c>
    </row>
    <row r="45" spans="1:7" x14ac:dyDescent="0.25">
      <c r="A45" s="18" t="s">
        <v>102</v>
      </c>
      <c r="B45" s="11" t="s">
        <v>103</v>
      </c>
      <c r="C45" s="1" t="s">
        <v>25</v>
      </c>
      <c r="D45" s="1" t="s">
        <v>277</v>
      </c>
      <c r="E45" s="31">
        <v>1.1589</v>
      </c>
      <c r="F45" s="3">
        <v>3000475</v>
      </c>
    </row>
    <row r="46" spans="1:7" x14ac:dyDescent="0.25">
      <c r="A46" s="18" t="s">
        <v>104</v>
      </c>
      <c r="B46" s="11" t="s">
        <v>105</v>
      </c>
      <c r="C46" s="1" t="s">
        <v>25</v>
      </c>
      <c r="D46" s="1" t="s">
        <v>277</v>
      </c>
      <c r="E46" s="31">
        <v>1.4222999999999999</v>
      </c>
      <c r="F46" s="3">
        <v>3000479</v>
      </c>
    </row>
    <row r="47" spans="1:7" x14ac:dyDescent="0.25">
      <c r="A47" s="18" t="s">
        <v>106</v>
      </c>
      <c r="B47" s="11" t="s">
        <v>107</v>
      </c>
      <c r="C47" s="1" t="s">
        <v>25</v>
      </c>
      <c r="D47" s="1" t="s">
        <v>277</v>
      </c>
      <c r="E47" s="31">
        <v>0.99560000000000004</v>
      </c>
      <c r="F47" s="3">
        <v>3000651</v>
      </c>
    </row>
    <row r="48" spans="1:7" x14ac:dyDescent="0.25">
      <c r="A48" s="18" t="s">
        <v>108</v>
      </c>
      <c r="B48" s="30" t="s">
        <v>289</v>
      </c>
      <c r="C48" s="1" t="s">
        <v>25</v>
      </c>
      <c r="D48" s="1" t="s">
        <v>277</v>
      </c>
      <c r="E48" s="31">
        <v>0.94820000000000004</v>
      </c>
      <c r="F48" s="3">
        <v>3000647</v>
      </c>
    </row>
    <row r="49" spans="1:7" x14ac:dyDescent="0.25">
      <c r="A49" s="46" t="s">
        <v>290</v>
      </c>
      <c r="B49" s="46"/>
      <c r="C49" s="46"/>
      <c r="D49" s="46"/>
      <c r="E49" s="46"/>
      <c r="F49" s="46"/>
      <c r="G49" s="46"/>
    </row>
    <row r="50" spans="1:7" x14ac:dyDescent="0.25">
      <c r="A50" s="18" t="s">
        <v>111</v>
      </c>
      <c r="B50" s="11" t="s">
        <v>291</v>
      </c>
      <c r="C50" s="1" t="s">
        <v>25</v>
      </c>
      <c r="D50" s="1" t="s">
        <v>277</v>
      </c>
      <c r="E50" s="31">
        <v>3.4239999999999999</v>
      </c>
      <c r="F50" s="3">
        <v>3000483</v>
      </c>
    </row>
    <row r="51" spans="1:7" x14ac:dyDescent="0.25">
      <c r="A51" s="46" t="s">
        <v>292</v>
      </c>
      <c r="B51" s="46"/>
      <c r="C51" s="46"/>
      <c r="D51" s="46"/>
      <c r="E51" s="46"/>
      <c r="F51" s="46"/>
      <c r="G51" s="46"/>
    </row>
    <row r="52" spans="1:7" x14ac:dyDescent="0.25">
      <c r="A52" s="18" t="s">
        <v>114</v>
      </c>
      <c r="B52" s="11" t="s">
        <v>115</v>
      </c>
      <c r="C52" s="1" t="s">
        <v>25</v>
      </c>
      <c r="D52" s="1" t="s">
        <v>277</v>
      </c>
      <c r="E52" s="31">
        <v>0.6321</v>
      </c>
      <c r="F52" s="3">
        <v>3000488</v>
      </c>
    </row>
    <row r="53" spans="1:7" x14ac:dyDescent="0.25">
      <c r="A53" s="46" t="s">
        <v>293</v>
      </c>
      <c r="B53" s="46"/>
      <c r="C53" s="46"/>
      <c r="D53" s="46"/>
      <c r="E53" s="46"/>
      <c r="F53" s="46"/>
      <c r="G53" s="46"/>
    </row>
    <row r="54" spans="1:7" x14ac:dyDescent="0.25">
      <c r="A54" s="18" t="s">
        <v>117</v>
      </c>
      <c r="B54" s="11" t="s">
        <v>118</v>
      </c>
      <c r="C54" s="1" t="s">
        <v>8</v>
      </c>
      <c r="D54" s="1" t="s">
        <v>277</v>
      </c>
      <c r="E54" s="31">
        <v>0.60750000000000004</v>
      </c>
      <c r="F54" s="3">
        <v>3000491</v>
      </c>
    </row>
    <row r="55" spans="1:7" x14ac:dyDescent="0.25">
      <c r="A55" s="18" t="s">
        <v>119</v>
      </c>
      <c r="B55" s="11" t="s">
        <v>120</v>
      </c>
      <c r="C55" s="1" t="s">
        <v>8</v>
      </c>
      <c r="D55" s="1" t="s">
        <v>270</v>
      </c>
      <c r="E55" s="31">
        <v>1.8153999999999999</v>
      </c>
      <c r="F55" s="3">
        <v>4000310</v>
      </c>
    </row>
    <row r="56" spans="1:7" x14ac:dyDescent="0.25">
      <c r="A56" s="18" t="s">
        <v>121</v>
      </c>
      <c r="B56" s="11" t="s">
        <v>122</v>
      </c>
      <c r="C56" s="1" t="s">
        <v>8</v>
      </c>
      <c r="D56" s="1" t="s">
        <v>270</v>
      </c>
      <c r="E56" s="31">
        <v>1.7257</v>
      </c>
      <c r="F56" s="3">
        <v>4000311</v>
      </c>
    </row>
    <row r="57" spans="1:7" x14ac:dyDescent="0.25">
      <c r="A57" s="46" t="s">
        <v>294</v>
      </c>
      <c r="B57" s="46"/>
      <c r="C57" s="46"/>
      <c r="D57" s="46"/>
      <c r="E57" s="46"/>
      <c r="F57" s="46"/>
      <c r="G57" s="46"/>
    </row>
    <row r="58" spans="1:7" x14ac:dyDescent="0.25">
      <c r="A58" s="49" t="s">
        <v>128</v>
      </c>
      <c r="B58" s="52" t="s">
        <v>129</v>
      </c>
      <c r="C58" s="55" t="s">
        <v>25</v>
      </c>
      <c r="D58" s="1" t="s">
        <v>270</v>
      </c>
      <c r="E58" s="31">
        <v>2.1071</v>
      </c>
      <c r="F58" s="3">
        <v>3000497</v>
      </c>
    </row>
    <row r="59" spans="1:7" x14ac:dyDescent="0.25">
      <c r="A59" s="50"/>
      <c r="B59" s="53"/>
      <c r="C59" s="56"/>
      <c r="D59" s="1" t="s">
        <v>280</v>
      </c>
      <c r="E59" s="31">
        <v>1.3169</v>
      </c>
      <c r="F59" s="3">
        <v>3000498</v>
      </c>
    </row>
    <row r="60" spans="1:7" x14ac:dyDescent="0.25">
      <c r="A60" s="51"/>
      <c r="B60" s="54"/>
      <c r="C60" s="57"/>
      <c r="D60" s="1" t="s">
        <v>277</v>
      </c>
      <c r="E60" s="31">
        <v>2.6339000000000001</v>
      </c>
      <c r="F60" s="3">
        <v>3000499</v>
      </c>
    </row>
    <row r="61" spans="1:7" x14ac:dyDescent="0.25">
      <c r="A61" s="58" t="s">
        <v>295</v>
      </c>
      <c r="B61" s="58"/>
      <c r="C61" s="58"/>
      <c r="D61" s="58"/>
      <c r="E61" s="58"/>
      <c r="F61" s="58"/>
      <c r="G61" s="58"/>
    </row>
    <row r="62" spans="1:7" x14ac:dyDescent="0.25">
      <c r="A62" s="26" t="s">
        <v>139</v>
      </c>
      <c r="B62" s="34" t="s">
        <v>140</v>
      </c>
      <c r="C62" s="5" t="s">
        <v>8</v>
      </c>
      <c r="D62" s="5" t="s">
        <v>270</v>
      </c>
      <c r="E62" s="31">
        <v>22.069900000000001</v>
      </c>
      <c r="F62" s="3">
        <v>4001081</v>
      </c>
    </row>
    <row r="63" spans="1:7" x14ac:dyDescent="0.25">
      <c r="A63" s="26" t="s">
        <v>141</v>
      </c>
      <c r="B63" s="34" t="s">
        <v>142</v>
      </c>
      <c r="C63" s="5" t="s">
        <v>8</v>
      </c>
      <c r="D63" s="5" t="s">
        <v>270</v>
      </c>
      <c r="E63" s="31">
        <v>22.069900000000001</v>
      </c>
      <c r="F63" s="3">
        <v>4001082</v>
      </c>
    </row>
    <row r="64" spans="1:7" x14ac:dyDescent="0.25">
      <c r="A64" s="59" t="s">
        <v>147</v>
      </c>
      <c r="B64" s="62" t="s">
        <v>148</v>
      </c>
      <c r="C64" s="65" t="s">
        <v>25</v>
      </c>
      <c r="D64" s="5" t="s">
        <v>270</v>
      </c>
      <c r="E64" s="31">
        <v>2.1071</v>
      </c>
      <c r="F64" s="3">
        <v>3000511</v>
      </c>
    </row>
    <row r="65" spans="1:6" x14ac:dyDescent="0.25">
      <c r="A65" s="60"/>
      <c r="B65" s="63"/>
      <c r="C65" s="66"/>
      <c r="D65" s="5" t="s">
        <v>280</v>
      </c>
      <c r="E65" s="31">
        <v>1.3169</v>
      </c>
      <c r="F65" s="3">
        <v>3000512</v>
      </c>
    </row>
    <row r="66" spans="1:6" x14ac:dyDescent="0.25">
      <c r="A66" s="61"/>
      <c r="B66" s="64"/>
      <c r="C66" s="67"/>
      <c r="D66" s="5" t="s">
        <v>277</v>
      </c>
      <c r="E66" s="31">
        <v>2.3704999999999998</v>
      </c>
      <c r="F66" s="3">
        <v>3000513</v>
      </c>
    </row>
    <row r="67" spans="1:6" ht="30" x14ac:dyDescent="0.25">
      <c r="A67" s="26" t="s">
        <v>151</v>
      </c>
      <c r="B67" s="35" t="s">
        <v>296</v>
      </c>
      <c r="C67" s="5" t="s">
        <v>25</v>
      </c>
      <c r="D67" s="5" t="s">
        <v>281</v>
      </c>
      <c r="E67" s="31">
        <v>0.94820000000000004</v>
      </c>
      <c r="F67" s="3">
        <v>3000654</v>
      </c>
    </row>
    <row r="68" spans="1:6" x14ac:dyDescent="0.25">
      <c r="A68" s="26" t="s">
        <v>153</v>
      </c>
      <c r="B68" s="34" t="s">
        <v>154</v>
      </c>
      <c r="C68" s="5" t="s">
        <v>8</v>
      </c>
      <c r="D68" s="5" t="s">
        <v>270</v>
      </c>
      <c r="E68" s="31">
        <v>12.5</v>
      </c>
      <c r="F68" s="3">
        <v>4000640</v>
      </c>
    </row>
    <row r="69" spans="1:6" x14ac:dyDescent="0.25">
      <c r="A69" s="59" t="s">
        <v>297</v>
      </c>
      <c r="B69" s="62" t="s">
        <v>298</v>
      </c>
      <c r="C69" s="65" t="s">
        <v>8</v>
      </c>
      <c r="D69" s="5" t="s">
        <v>270</v>
      </c>
      <c r="E69" s="31">
        <v>14.219900000000001</v>
      </c>
      <c r="F69" s="3">
        <v>4000840</v>
      </c>
    </row>
    <row r="70" spans="1:6" x14ac:dyDescent="0.25">
      <c r="A70" s="60"/>
      <c r="B70" s="63"/>
      <c r="C70" s="66"/>
      <c r="D70" s="5" t="s">
        <v>280</v>
      </c>
      <c r="E70" s="31">
        <v>6.4027000000000003</v>
      </c>
      <c r="F70" s="3">
        <v>4000841</v>
      </c>
    </row>
    <row r="71" spans="1:6" x14ac:dyDescent="0.25">
      <c r="A71" s="60"/>
      <c r="B71" s="63"/>
      <c r="C71" s="66"/>
      <c r="D71" s="5" t="s">
        <v>277</v>
      </c>
      <c r="E71" s="31">
        <v>17.886700000000001</v>
      </c>
      <c r="F71" s="3">
        <v>4000720</v>
      </c>
    </row>
    <row r="72" spans="1:6" x14ac:dyDescent="0.25">
      <c r="A72" s="61"/>
      <c r="B72" s="64"/>
      <c r="C72" s="67"/>
      <c r="D72" s="5" t="s">
        <v>281</v>
      </c>
      <c r="E72" s="31">
        <v>12.635</v>
      </c>
      <c r="F72" s="3">
        <v>4000842</v>
      </c>
    </row>
    <row r="73" spans="1:6" x14ac:dyDescent="0.25">
      <c r="A73" s="59" t="s">
        <v>299</v>
      </c>
      <c r="B73" s="62" t="s">
        <v>300</v>
      </c>
      <c r="C73" s="65" t="s">
        <v>8</v>
      </c>
      <c r="D73" s="5" t="s">
        <v>270</v>
      </c>
      <c r="E73" s="31">
        <v>17.930099999999999</v>
      </c>
      <c r="F73" s="3">
        <v>4000843</v>
      </c>
    </row>
    <row r="74" spans="1:6" x14ac:dyDescent="0.25">
      <c r="A74" s="60"/>
      <c r="B74" s="63"/>
      <c r="C74" s="66"/>
      <c r="D74" s="5" t="s">
        <v>280</v>
      </c>
      <c r="E74" s="31">
        <v>7.8558000000000003</v>
      </c>
      <c r="F74" s="3">
        <v>4000844</v>
      </c>
    </row>
    <row r="75" spans="1:6" x14ac:dyDescent="0.25">
      <c r="A75" s="60"/>
      <c r="B75" s="63"/>
      <c r="C75" s="66"/>
      <c r="D75" s="5" t="s">
        <v>277</v>
      </c>
      <c r="E75" s="31">
        <v>21.946300000000001</v>
      </c>
      <c r="F75" s="3">
        <v>4000721</v>
      </c>
    </row>
    <row r="76" spans="1:6" x14ac:dyDescent="0.25">
      <c r="A76" s="61"/>
      <c r="B76" s="64"/>
      <c r="C76" s="67"/>
      <c r="D76" s="5" t="s">
        <v>281</v>
      </c>
      <c r="E76" s="31">
        <v>15.502700000000001</v>
      </c>
      <c r="F76" s="3">
        <v>4000845</v>
      </c>
    </row>
    <row r="77" spans="1:6" x14ac:dyDescent="0.25">
      <c r="A77" s="59" t="s">
        <v>301</v>
      </c>
      <c r="B77" s="62" t="s">
        <v>302</v>
      </c>
      <c r="C77" s="65" t="s">
        <v>8</v>
      </c>
      <c r="D77" s="5" t="s">
        <v>270</v>
      </c>
      <c r="E77" s="31">
        <v>9.3619000000000003</v>
      </c>
      <c r="F77" s="3">
        <v>4000846</v>
      </c>
    </row>
    <row r="78" spans="1:6" x14ac:dyDescent="0.25">
      <c r="A78" s="60"/>
      <c r="B78" s="63"/>
      <c r="C78" s="66"/>
      <c r="D78" s="5" t="s">
        <v>280</v>
      </c>
      <c r="E78" s="31">
        <v>4.2153</v>
      </c>
      <c r="F78" s="3">
        <v>4000847</v>
      </c>
    </row>
    <row r="79" spans="1:6" x14ac:dyDescent="0.25">
      <c r="A79" s="60"/>
      <c r="B79" s="63"/>
      <c r="C79" s="66"/>
      <c r="D79" s="5" t="s">
        <v>277</v>
      </c>
      <c r="E79" s="31">
        <v>11.776</v>
      </c>
      <c r="F79" s="3">
        <v>4000722</v>
      </c>
    </row>
    <row r="80" spans="1:6" x14ac:dyDescent="0.25">
      <c r="A80" s="61"/>
      <c r="B80" s="64"/>
      <c r="C80" s="67"/>
      <c r="D80" s="5" t="s">
        <v>281</v>
      </c>
      <c r="E80" s="31">
        <v>8.3185000000000002</v>
      </c>
      <c r="F80" s="3">
        <v>4000848</v>
      </c>
    </row>
    <row r="81" spans="1:7" x14ac:dyDescent="0.25">
      <c r="A81" s="26" t="s">
        <v>303</v>
      </c>
      <c r="B81" s="34" t="s">
        <v>304</v>
      </c>
      <c r="C81" s="5" t="s">
        <v>8</v>
      </c>
      <c r="D81" s="5" t="s">
        <v>277</v>
      </c>
      <c r="E81" s="31">
        <v>6.141</v>
      </c>
      <c r="F81" s="3">
        <v>4000725</v>
      </c>
    </row>
    <row r="82" spans="1:7" x14ac:dyDescent="0.25">
      <c r="A82" s="58" t="s">
        <v>305</v>
      </c>
      <c r="B82" s="58"/>
      <c r="C82" s="58"/>
      <c r="D82" s="58"/>
      <c r="E82" s="58"/>
      <c r="F82" s="58"/>
      <c r="G82" s="58"/>
    </row>
    <row r="83" spans="1:7" x14ac:dyDescent="0.25">
      <c r="A83" s="59" t="s">
        <v>160</v>
      </c>
      <c r="B83" s="62" t="s">
        <v>161</v>
      </c>
      <c r="C83" s="65" t="s">
        <v>53</v>
      </c>
      <c r="D83" s="5" t="s">
        <v>270</v>
      </c>
      <c r="E83" s="31">
        <v>2.9700000000000001E-2</v>
      </c>
      <c r="F83" s="3">
        <v>3000516</v>
      </c>
    </row>
    <row r="84" spans="1:7" x14ac:dyDescent="0.25">
      <c r="A84" s="60"/>
      <c r="B84" s="63"/>
      <c r="C84" s="66"/>
      <c r="D84" s="5" t="s">
        <v>280</v>
      </c>
      <c r="E84" s="31">
        <v>1.6799999999999999E-2</v>
      </c>
      <c r="F84" s="3">
        <v>3000517</v>
      </c>
    </row>
    <row r="85" spans="1:7" x14ac:dyDescent="0.25">
      <c r="A85" s="60"/>
      <c r="B85" s="63"/>
      <c r="C85" s="66"/>
      <c r="D85" s="5" t="s">
        <v>277</v>
      </c>
      <c r="E85" s="31">
        <v>3.4500000000000003E-2</v>
      </c>
      <c r="F85" s="3">
        <v>3000518</v>
      </c>
    </row>
    <row r="86" spans="1:7" x14ac:dyDescent="0.25">
      <c r="A86" s="61"/>
      <c r="B86" s="64"/>
      <c r="C86" s="67"/>
      <c r="D86" s="5" t="s">
        <v>281</v>
      </c>
      <c r="E86" s="31">
        <v>1.7999999999999999E-2</v>
      </c>
      <c r="F86" s="3">
        <v>3000519</v>
      </c>
    </row>
    <row r="87" spans="1:7" x14ac:dyDescent="0.25">
      <c r="A87" s="26" t="s">
        <v>162</v>
      </c>
      <c r="B87" s="34" t="s">
        <v>163</v>
      </c>
      <c r="C87" s="5" t="s">
        <v>8</v>
      </c>
      <c r="D87" s="5" t="s">
        <v>270</v>
      </c>
      <c r="E87" s="31">
        <v>1.0535000000000001</v>
      </c>
      <c r="F87" s="3">
        <v>3000520</v>
      </c>
    </row>
    <row r="88" spans="1:7" x14ac:dyDescent="0.25">
      <c r="A88" s="26" t="s">
        <v>164</v>
      </c>
      <c r="B88" s="34" t="s">
        <v>165</v>
      </c>
      <c r="C88" s="5" t="s">
        <v>8</v>
      </c>
      <c r="D88" s="5" t="s">
        <v>277</v>
      </c>
      <c r="E88" s="31">
        <v>4.6355000000000004</v>
      </c>
      <c r="F88" s="3">
        <v>3000522</v>
      </c>
    </row>
    <row r="89" spans="1:7" x14ac:dyDescent="0.25">
      <c r="A89" s="26" t="s">
        <v>166</v>
      </c>
      <c r="B89" s="34" t="s">
        <v>167</v>
      </c>
      <c r="C89" s="5" t="s">
        <v>8</v>
      </c>
      <c r="D89" s="5" t="s">
        <v>277</v>
      </c>
      <c r="E89" s="31">
        <v>1.1589</v>
      </c>
      <c r="F89" s="3">
        <v>3000524</v>
      </c>
    </row>
    <row r="90" spans="1:7" ht="30" x14ac:dyDescent="0.25">
      <c r="A90" s="26" t="s">
        <v>168</v>
      </c>
      <c r="B90" s="35" t="s">
        <v>306</v>
      </c>
      <c r="C90" s="5" t="s">
        <v>8</v>
      </c>
      <c r="D90" s="5" t="s">
        <v>277</v>
      </c>
      <c r="E90" s="31">
        <v>3.1606000000000001</v>
      </c>
      <c r="F90" s="3">
        <v>3000526</v>
      </c>
    </row>
    <row r="91" spans="1:7" x14ac:dyDescent="0.25">
      <c r="A91" s="26" t="s">
        <v>170</v>
      </c>
      <c r="B91" s="34" t="s">
        <v>171</v>
      </c>
      <c r="C91" s="5" t="s">
        <v>25</v>
      </c>
      <c r="D91" s="5" t="s">
        <v>277</v>
      </c>
      <c r="E91" s="31">
        <v>3.6873999999999998</v>
      </c>
      <c r="F91" s="3">
        <v>3000528</v>
      </c>
    </row>
    <row r="92" spans="1:7" x14ac:dyDescent="0.25">
      <c r="A92" s="26" t="s">
        <v>172</v>
      </c>
      <c r="B92" s="34" t="s">
        <v>307</v>
      </c>
      <c r="C92" s="5" t="s">
        <v>25</v>
      </c>
      <c r="D92" s="5" t="s">
        <v>270</v>
      </c>
      <c r="E92" s="31">
        <v>1.0535000000000001</v>
      </c>
      <c r="F92" s="3">
        <v>3000529</v>
      </c>
    </row>
    <row r="93" spans="1:7" x14ac:dyDescent="0.25">
      <c r="A93" s="26" t="s">
        <v>174</v>
      </c>
      <c r="B93" s="34" t="s">
        <v>175</v>
      </c>
      <c r="C93" s="5" t="s">
        <v>25</v>
      </c>
      <c r="D93" s="5" t="s">
        <v>277</v>
      </c>
      <c r="E93" s="31">
        <v>1.8436999999999999</v>
      </c>
      <c r="F93" s="3">
        <v>3000531</v>
      </c>
    </row>
    <row r="94" spans="1:7" x14ac:dyDescent="0.25">
      <c r="A94" s="26" t="s">
        <v>176</v>
      </c>
      <c r="B94" s="34" t="s">
        <v>177</v>
      </c>
      <c r="C94" s="5" t="s">
        <v>8</v>
      </c>
      <c r="D94" s="5" t="s">
        <v>277</v>
      </c>
      <c r="E94" s="31">
        <v>0.52680000000000005</v>
      </c>
      <c r="F94" s="3">
        <v>3000533</v>
      </c>
    </row>
    <row r="95" spans="1:7" x14ac:dyDescent="0.25">
      <c r="A95" s="26" t="s">
        <v>178</v>
      </c>
      <c r="B95" s="34" t="s">
        <v>179</v>
      </c>
      <c r="C95" s="5" t="s">
        <v>8</v>
      </c>
      <c r="D95" s="5" t="s">
        <v>277</v>
      </c>
      <c r="E95" s="31">
        <v>0.31609999999999999</v>
      </c>
      <c r="F95" s="3">
        <v>3000536</v>
      </c>
    </row>
    <row r="96" spans="1:7" x14ac:dyDescent="0.25">
      <c r="A96" s="58" t="s">
        <v>308</v>
      </c>
      <c r="B96" s="58"/>
      <c r="C96" s="58"/>
      <c r="D96" s="58"/>
      <c r="E96" s="58"/>
      <c r="F96" s="58"/>
      <c r="G96" s="58"/>
    </row>
    <row r="97" spans="1:7" x14ac:dyDescent="0.25">
      <c r="A97" s="26" t="s">
        <v>181</v>
      </c>
      <c r="B97" s="34" t="s">
        <v>182</v>
      </c>
      <c r="C97" s="5" t="s">
        <v>25</v>
      </c>
      <c r="D97" s="5" t="s">
        <v>277</v>
      </c>
      <c r="E97" s="31">
        <v>2.1071</v>
      </c>
      <c r="F97" s="3">
        <v>3000539</v>
      </c>
    </row>
    <row r="98" spans="1:7" x14ac:dyDescent="0.25">
      <c r="A98" s="26" t="s">
        <v>183</v>
      </c>
      <c r="B98" s="34" t="s">
        <v>184</v>
      </c>
      <c r="C98" s="5" t="s">
        <v>25</v>
      </c>
      <c r="D98" s="5" t="s">
        <v>277</v>
      </c>
      <c r="E98" s="31">
        <v>4.2141999999999999</v>
      </c>
      <c r="F98" s="3">
        <v>3000543</v>
      </c>
    </row>
    <row r="99" spans="1:7" x14ac:dyDescent="0.25">
      <c r="A99" s="26" t="s">
        <v>185</v>
      </c>
      <c r="B99" s="34" t="s">
        <v>186</v>
      </c>
      <c r="C99" s="5" t="s">
        <v>8</v>
      </c>
      <c r="D99" s="5" t="s">
        <v>277</v>
      </c>
      <c r="E99" s="31">
        <v>0.47410000000000002</v>
      </c>
      <c r="F99" s="3">
        <v>3000547</v>
      </c>
    </row>
    <row r="100" spans="1:7" x14ac:dyDescent="0.25">
      <c r="A100" s="59" t="s">
        <v>187</v>
      </c>
      <c r="B100" s="62" t="s">
        <v>188</v>
      </c>
      <c r="C100" s="65" t="s">
        <v>53</v>
      </c>
      <c r="D100" s="5" t="s">
        <v>270</v>
      </c>
      <c r="E100" s="31">
        <v>2.5899999999999999E-2</v>
      </c>
      <c r="F100" s="3">
        <v>3000549</v>
      </c>
    </row>
    <row r="101" spans="1:7" x14ac:dyDescent="0.25">
      <c r="A101" s="60"/>
      <c r="B101" s="63"/>
      <c r="C101" s="66"/>
      <c r="D101" s="5" t="s">
        <v>280</v>
      </c>
      <c r="E101" s="31">
        <v>1.3899999999999999E-2</v>
      </c>
      <c r="F101" s="3">
        <v>3000550</v>
      </c>
    </row>
    <row r="102" spans="1:7" x14ac:dyDescent="0.25">
      <c r="A102" s="60"/>
      <c r="B102" s="63"/>
      <c r="C102" s="66"/>
      <c r="D102" s="5" t="s">
        <v>277</v>
      </c>
      <c r="E102" s="31">
        <v>2.9700000000000001E-2</v>
      </c>
      <c r="F102" s="3">
        <v>3000551</v>
      </c>
    </row>
    <row r="103" spans="1:7" x14ac:dyDescent="0.25">
      <c r="A103" s="61"/>
      <c r="B103" s="64"/>
      <c r="C103" s="67"/>
      <c r="D103" s="5" t="s">
        <v>281</v>
      </c>
      <c r="E103" s="31">
        <v>1.5599999999999999E-2</v>
      </c>
      <c r="F103" s="3">
        <v>3000552</v>
      </c>
    </row>
    <row r="104" spans="1:7" x14ac:dyDescent="0.25">
      <c r="A104" s="26" t="s">
        <v>189</v>
      </c>
      <c r="B104" s="34" t="s">
        <v>309</v>
      </c>
      <c r="C104" s="5" t="s">
        <v>8</v>
      </c>
      <c r="D104" s="5" t="s">
        <v>277</v>
      </c>
      <c r="E104" s="31">
        <v>1.0008999999999999</v>
      </c>
      <c r="F104" s="3">
        <v>3000554</v>
      </c>
    </row>
    <row r="105" spans="1:7" x14ac:dyDescent="0.25">
      <c r="A105" s="26" t="s">
        <v>191</v>
      </c>
      <c r="B105" s="34" t="s">
        <v>192</v>
      </c>
      <c r="C105" s="5" t="s">
        <v>8</v>
      </c>
      <c r="D105" s="5" t="s">
        <v>270</v>
      </c>
      <c r="E105" s="31">
        <v>0.31609999999999999</v>
      </c>
      <c r="F105" s="3">
        <v>3000555</v>
      </c>
    </row>
    <row r="106" spans="1:7" x14ac:dyDescent="0.25">
      <c r="A106" s="26" t="s">
        <v>193</v>
      </c>
      <c r="B106" s="34" t="s">
        <v>194</v>
      </c>
      <c r="C106" s="5" t="s">
        <v>8</v>
      </c>
      <c r="D106" s="5" t="s">
        <v>270</v>
      </c>
      <c r="E106" s="31">
        <v>0.52680000000000005</v>
      </c>
      <c r="F106" s="3">
        <v>3000556</v>
      </c>
    </row>
    <row r="107" spans="1:7" x14ac:dyDescent="0.25">
      <c r="A107" s="26" t="s">
        <v>195</v>
      </c>
      <c r="B107" s="34" t="s">
        <v>196</v>
      </c>
      <c r="C107" s="5" t="s">
        <v>8</v>
      </c>
      <c r="D107" s="5" t="s">
        <v>277</v>
      </c>
      <c r="E107" s="31">
        <v>1.1589</v>
      </c>
      <c r="F107" s="3">
        <v>3000558</v>
      </c>
    </row>
    <row r="108" spans="1:7" x14ac:dyDescent="0.25">
      <c r="A108" s="58" t="s">
        <v>310</v>
      </c>
      <c r="B108" s="58"/>
      <c r="C108" s="58"/>
      <c r="D108" s="58"/>
      <c r="E108" s="58"/>
      <c r="F108" s="58"/>
      <c r="G108" s="58"/>
    </row>
    <row r="109" spans="1:7" x14ac:dyDescent="0.25">
      <c r="A109" s="26" t="s">
        <v>198</v>
      </c>
      <c r="B109" s="34" t="s">
        <v>199</v>
      </c>
      <c r="C109" s="5" t="s">
        <v>8</v>
      </c>
      <c r="D109" s="5" t="s">
        <v>270</v>
      </c>
      <c r="E109" s="31">
        <v>5.6336000000000004</v>
      </c>
      <c r="F109" s="3">
        <v>3000559</v>
      </c>
    </row>
    <row r="110" spans="1:7" x14ac:dyDescent="0.25">
      <c r="A110" s="26" t="s">
        <v>200</v>
      </c>
      <c r="B110" s="34" t="s">
        <v>201</v>
      </c>
      <c r="C110" s="5" t="s">
        <v>25</v>
      </c>
      <c r="D110" s="5" t="s">
        <v>270</v>
      </c>
      <c r="E110" s="31">
        <v>3.2191999999999998</v>
      </c>
      <c r="F110" s="3">
        <v>3000560</v>
      </c>
    </row>
    <row r="111" spans="1:7" x14ac:dyDescent="0.25">
      <c r="A111" s="26" t="s">
        <v>202</v>
      </c>
      <c r="B111" s="34" t="s">
        <v>203</v>
      </c>
      <c r="C111" s="5" t="s">
        <v>25</v>
      </c>
      <c r="D111" s="5" t="s">
        <v>277</v>
      </c>
      <c r="E111" s="31">
        <v>7.5892999999999997</v>
      </c>
      <c r="F111" s="3">
        <v>3000563</v>
      </c>
    </row>
    <row r="112" spans="1:7" x14ac:dyDescent="0.25">
      <c r="A112" s="26" t="s">
        <v>204</v>
      </c>
      <c r="B112" s="34" t="s">
        <v>205</v>
      </c>
      <c r="C112" s="5" t="s">
        <v>25</v>
      </c>
      <c r="D112" s="5" t="s">
        <v>277</v>
      </c>
      <c r="E112" s="31">
        <v>7.7337999999999996</v>
      </c>
      <c r="F112" s="3">
        <v>3000567</v>
      </c>
    </row>
    <row r="113" spans="1:6" x14ac:dyDescent="0.25">
      <c r="A113" s="26" t="s">
        <v>206</v>
      </c>
      <c r="B113" s="34" t="s">
        <v>207</v>
      </c>
      <c r="C113" s="5" t="s">
        <v>25</v>
      </c>
      <c r="D113" s="5" t="s">
        <v>277</v>
      </c>
      <c r="E113" s="31">
        <v>12.316700000000001</v>
      </c>
      <c r="F113" s="3">
        <v>3000571</v>
      </c>
    </row>
    <row r="114" spans="1:6" x14ac:dyDescent="0.25">
      <c r="A114" s="26" t="s">
        <v>208</v>
      </c>
      <c r="B114" s="34" t="s">
        <v>311</v>
      </c>
      <c r="C114" s="5" t="s">
        <v>8</v>
      </c>
      <c r="D114" s="5" t="s">
        <v>277</v>
      </c>
      <c r="E114" s="31">
        <v>17.243400000000001</v>
      </c>
      <c r="F114" s="3">
        <v>3000575</v>
      </c>
    </row>
    <row r="115" spans="1:6" x14ac:dyDescent="0.25">
      <c r="A115" s="26" t="s">
        <v>210</v>
      </c>
      <c r="B115" s="34" t="s">
        <v>211</v>
      </c>
      <c r="C115" s="5" t="s">
        <v>25</v>
      </c>
      <c r="D115" s="5" t="s">
        <v>277</v>
      </c>
      <c r="E115" s="31">
        <v>6.8569000000000004</v>
      </c>
      <c r="F115" s="3">
        <v>3000577</v>
      </c>
    </row>
    <row r="116" spans="1:6" x14ac:dyDescent="0.25">
      <c r="A116" s="26" t="s">
        <v>212</v>
      </c>
      <c r="B116" s="34" t="s">
        <v>213</v>
      </c>
      <c r="C116" s="5" t="s">
        <v>8</v>
      </c>
      <c r="D116" s="5" t="s">
        <v>270</v>
      </c>
      <c r="E116" s="31">
        <v>4.9267000000000003</v>
      </c>
      <c r="F116" s="3">
        <v>3000578</v>
      </c>
    </row>
    <row r="117" spans="1:6" x14ac:dyDescent="0.25">
      <c r="A117" s="26" t="s">
        <v>215</v>
      </c>
      <c r="B117" s="34" t="s">
        <v>216</v>
      </c>
      <c r="C117" s="5" t="s">
        <v>8</v>
      </c>
      <c r="D117" s="5" t="s">
        <v>270</v>
      </c>
      <c r="E117" s="31">
        <v>1.6095999999999999</v>
      </c>
      <c r="F117" s="3">
        <v>3000582</v>
      </c>
    </row>
    <row r="118" spans="1:6" x14ac:dyDescent="0.25">
      <c r="A118" s="26" t="s">
        <v>217</v>
      </c>
      <c r="B118" s="34" t="s">
        <v>218</v>
      </c>
      <c r="C118" s="5" t="s">
        <v>8</v>
      </c>
      <c r="D118" s="5" t="s">
        <v>277</v>
      </c>
      <c r="E118" s="31">
        <v>2.012</v>
      </c>
      <c r="F118" s="3">
        <v>3000585</v>
      </c>
    </row>
    <row r="119" spans="1:6" x14ac:dyDescent="0.25">
      <c r="A119" s="26" t="s">
        <v>219</v>
      </c>
      <c r="B119" s="34" t="s">
        <v>312</v>
      </c>
      <c r="C119" s="5" t="s">
        <v>25</v>
      </c>
      <c r="D119" s="5" t="s">
        <v>270</v>
      </c>
      <c r="E119" s="31">
        <v>2.8007</v>
      </c>
      <c r="F119" s="3">
        <v>3000586</v>
      </c>
    </row>
    <row r="120" spans="1:6" x14ac:dyDescent="0.25">
      <c r="A120" s="26" t="s">
        <v>221</v>
      </c>
      <c r="B120" s="34" t="s">
        <v>148</v>
      </c>
      <c r="C120" s="5" t="s">
        <v>25</v>
      </c>
      <c r="D120" s="5" t="s">
        <v>277</v>
      </c>
      <c r="E120" s="31">
        <v>2.8007</v>
      </c>
      <c r="F120" s="3">
        <v>3000589</v>
      </c>
    </row>
    <row r="121" spans="1:6" x14ac:dyDescent="0.25">
      <c r="A121" s="26" t="s">
        <v>222</v>
      </c>
      <c r="B121" s="34" t="s">
        <v>129</v>
      </c>
      <c r="C121" s="5" t="s">
        <v>25</v>
      </c>
      <c r="D121" s="5" t="s">
        <v>277</v>
      </c>
      <c r="E121" s="31">
        <v>4.0079000000000002</v>
      </c>
      <c r="F121" s="3">
        <v>3000593</v>
      </c>
    </row>
    <row r="122" spans="1:6" x14ac:dyDescent="0.25">
      <c r="A122" s="26" t="s">
        <v>223</v>
      </c>
      <c r="B122" s="34" t="s">
        <v>224</v>
      </c>
      <c r="C122" s="5" t="s">
        <v>25</v>
      </c>
      <c r="D122" s="5" t="s">
        <v>277</v>
      </c>
      <c r="E122" s="31">
        <v>2.8973</v>
      </c>
      <c r="F122" s="3">
        <v>3000596</v>
      </c>
    </row>
    <row r="123" spans="1:6" x14ac:dyDescent="0.25">
      <c r="A123" s="26" t="s">
        <v>225</v>
      </c>
      <c r="B123" s="34" t="s">
        <v>59</v>
      </c>
      <c r="C123" s="5" t="s">
        <v>8</v>
      </c>
      <c r="D123" s="5" t="s">
        <v>277</v>
      </c>
      <c r="E123" s="31">
        <v>2.012</v>
      </c>
      <c r="F123" s="3">
        <v>3000598</v>
      </c>
    </row>
    <row r="124" spans="1:6" x14ac:dyDescent="0.25">
      <c r="A124" s="59" t="s">
        <v>228</v>
      </c>
      <c r="B124" s="62" t="s">
        <v>229</v>
      </c>
      <c r="C124" s="65" t="s">
        <v>8</v>
      </c>
      <c r="D124" s="5" t="s">
        <v>270</v>
      </c>
      <c r="E124" s="31">
        <v>3.4028999999999998</v>
      </c>
      <c r="F124" s="3">
        <v>4001041</v>
      </c>
    </row>
    <row r="125" spans="1:6" x14ac:dyDescent="0.25">
      <c r="A125" s="60"/>
      <c r="B125" s="63"/>
      <c r="C125" s="66"/>
      <c r="D125" s="5" t="s">
        <v>280</v>
      </c>
      <c r="E125" s="31">
        <v>2</v>
      </c>
      <c r="F125" s="3">
        <v>4001042</v>
      </c>
    </row>
    <row r="126" spans="1:6" x14ac:dyDescent="0.25">
      <c r="A126" s="61"/>
      <c r="B126" s="64"/>
      <c r="C126" s="67"/>
      <c r="D126" s="5" t="s">
        <v>277</v>
      </c>
      <c r="E126" s="31">
        <v>4.2535999999999996</v>
      </c>
      <c r="F126" s="3">
        <v>3000656</v>
      </c>
    </row>
    <row r="127" spans="1:6" x14ac:dyDescent="0.25">
      <c r="A127" s="59" t="s">
        <v>230</v>
      </c>
      <c r="B127" s="62" t="s">
        <v>229</v>
      </c>
      <c r="C127" s="65" t="s">
        <v>25</v>
      </c>
      <c r="D127" s="5" t="s">
        <v>280</v>
      </c>
      <c r="E127" s="31">
        <v>4.4149000000000003</v>
      </c>
      <c r="F127" s="3">
        <v>4001043</v>
      </c>
    </row>
    <row r="128" spans="1:6" x14ac:dyDescent="0.25">
      <c r="A128" s="61"/>
      <c r="B128" s="64"/>
      <c r="C128" s="67"/>
      <c r="D128" s="5" t="s">
        <v>277</v>
      </c>
      <c r="E128" s="31">
        <v>6.5736999999999997</v>
      </c>
      <c r="F128" s="3">
        <v>3000658</v>
      </c>
    </row>
    <row r="129" spans="1:7" ht="45" x14ac:dyDescent="0.25">
      <c r="A129" s="26" t="s">
        <v>231</v>
      </c>
      <c r="B129" s="35" t="s">
        <v>313</v>
      </c>
      <c r="C129" s="5" t="s">
        <v>8</v>
      </c>
      <c r="D129" s="5" t="s">
        <v>277</v>
      </c>
      <c r="E129" s="31">
        <v>12.932499999999999</v>
      </c>
      <c r="F129" s="3">
        <v>3000661</v>
      </c>
    </row>
    <row r="130" spans="1:7" ht="30" x14ac:dyDescent="0.25">
      <c r="A130" s="26" t="s">
        <v>233</v>
      </c>
      <c r="B130" s="35" t="s">
        <v>314</v>
      </c>
      <c r="C130" s="5" t="s">
        <v>25</v>
      </c>
      <c r="D130" s="5" t="s">
        <v>277</v>
      </c>
      <c r="E130" s="31">
        <v>6.1868999999999996</v>
      </c>
      <c r="F130" s="3">
        <v>3000663</v>
      </c>
    </row>
    <row r="131" spans="1:7" x14ac:dyDescent="0.25">
      <c r="A131" s="26" t="s">
        <v>235</v>
      </c>
      <c r="B131" s="34" t="s">
        <v>236</v>
      </c>
      <c r="C131" s="5" t="s">
        <v>8</v>
      </c>
      <c r="D131" s="5" t="s">
        <v>277</v>
      </c>
      <c r="E131" s="31">
        <v>4.8608000000000002</v>
      </c>
      <c r="F131" s="3">
        <v>4000331</v>
      </c>
    </row>
    <row r="132" spans="1:7" x14ac:dyDescent="0.25">
      <c r="A132" s="26" t="s">
        <v>237</v>
      </c>
      <c r="B132" s="34" t="s">
        <v>238</v>
      </c>
      <c r="C132" s="5" t="s">
        <v>25</v>
      </c>
      <c r="D132" s="5" t="s">
        <v>270</v>
      </c>
      <c r="E132" s="31">
        <v>4.8288000000000002</v>
      </c>
      <c r="F132" s="3">
        <v>3000655</v>
      </c>
    </row>
    <row r="133" spans="1:7" x14ac:dyDescent="0.25">
      <c r="A133" s="26" t="s">
        <v>239</v>
      </c>
      <c r="B133" s="34" t="s">
        <v>240</v>
      </c>
      <c r="C133" s="5" t="s">
        <v>8</v>
      </c>
      <c r="D133" s="5" t="s">
        <v>277</v>
      </c>
      <c r="E133" s="31">
        <v>0.94469999999999998</v>
      </c>
      <c r="F133" s="3">
        <v>4000644</v>
      </c>
    </row>
    <row r="134" spans="1:7" x14ac:dyDescent="0.25">
      <c r="A134" s="59" t="s">
        <v>315</v>
      </c>
      <c r="B134" s="62" t="s">
        <v>316</v>
      </c>
      <c r="C134" s="65" t="s">
        <v>8</v>
      </c>
      <c r="D134" s="5" t="s">
        <v>270</v>
      </c>
      <c r="E134" s="31">
        <v>23.726900000000001</v>
      </c>
      <c r="F134" s="3">
        <v>4000849</v>
      </c>
    </row>
    <row r="135" spans="1:7" x14ac:dyDescent="0.25">
      <c r="A135" s="60"/>
      <c r="B135" s="63"/>
      <c r="C135" s="66"/>
      <c r="D135" s="5" t="s">
        <v>280</v>
      </c>
      <c r="E135" s="31">
        <v>18.755099999999999</v>
      </c>
      <c r="F135" s="3">
        <v>4000850</v>
      </c>
    </row>
    <row r="136" spans="1:7" x14ac:dyDescent="0.25">
      <c r="A136" s="61"/>
      <c r="B136" s="64"/>
      <c r="C136" s="67"/>
      <c r="D136" s="5" t="s">
        <v>277</v>
      </c>
      <c r="E136" s="31">
        <v>29.845099999999999</v>
      </c>
      <c r="F136" s="3">
        <v>4000829</v>
      </c>
    </row>
    <row r="137" spans="1:7" x14ac:dyDescent="0.25">
      <c r="A137" s="59" t="s">
        <v>317</v>
      </c>
      <c r="B137" s="62" t="s">
        <v>318</v>
      </c>
      <c r="C137" s="65" t="s">
        <v>8</v>
      </c>
      <c r="D137" s="5" t="s">
        <v>270</v>
      </c>
      <c r="E137" s="31">
        <v>29.9176</v>
      </c>
      <c r="F137" s="3">
        <v>4000851</v>
      </c>
    </row>
    <row r="138" spans="1:7" x14ac:dyDescent="0.25">
      <c r="A138" s="60"/>
      <c r="B138" s="63"/>
      <c r="C138" s="66"/>
      <c r="D138" s="5" t="s">
        <v>280</v>
      </c>
      <c r="E138" s="31">
        <v>23.011800000000001</v>
      </c>
      <c r="F138" s="3">
        <v>4000852</v>
      </c>
    </row>
    <row r="139" spans="1:7" x14ac:dyDescent="0.25">
      <c r="A139" s="61"/>
      <c r="B139" s="64"/>
      <c r="C139" s="67"/>
      <c r="D139" s="5" t="s">
        <v>277</v>
      </c>
      <c r="E139" s="31">
        <v>36.6188</v>
      </c>
      <c r="F139" s="3">
        <v>4000830</v>
      </c>
    </row>
    <row r="140" spans="1:7" x14ac:dyDescent="0.25">
      <c r="A140" s="26" t="s">
        <v>243</v>
      </c>
      <c r="B140" s="34" t="s">
        <v>319</v>
      </c>
      <c r="C140" s="5" t="s">
        <v>8</v>
      </c>
      <c r="D140" s="5" t="s">
        <v>270</v>
      </c>
      <c r="E140" s="31">
        <v>5.1778000000000004</v>
      </c>
      <c r="F140" s="3">
        <v>4001320</v>
      </c>
    </row>
    <row r="141" spans="1:7" x14ac:dyDescent="0.25">
      <c r="A141" s="58" t="s">
        <v>252</v>
      </c>
      <c r="B141" s="58"/>
      <c r="C141" s="58"/>
      <c r="D141" s="58"/>
      <c r="E141" s="58"/>
      <c r="F141" s="58"/>
      <c r="G141" s="58"/>
    </row>
    <row r="142" spans="1:7" x14ac:dyDescent="0.25">
      <c r="A142" s="26" t="s">
        <v>253</v>
      </c>
      <c r="B142" s="34" t="s">
        <v>254</v>
      </c>
      <c r="C142" s="5" t="s">
        <v>25</v>
      </c>
      <c r="D142" s="5" t="s">
        <v>270</v>
      </c>
      <c r="E142" s="31">
        <v>0.85050000000000003</v>
      </c>
      <c r="F142" s="3">
        <v>4000340</v>
      </c>
    </row>
    <row r="143" spans="1:7" x14ac:dyDescent="0.25">
      <c r="A143" s="58" t="s">
        <v>255</v>
      </c>
      <c r="B143" s="58"/>
      <c r="C143" s="58"/>
      <c r="D143" s="58"/>
      <c r="E143" s="58"/>
      <c r="F143" s="58"/>
      <c r="G143" s="58"/>
    </row>
    <row r="144" spans="1:7" x14ac:dyDescent="0.25">
      <c r="A144" s="59" t="s">
        <v>256</v>
      </c>
      <c r="B144" s="62" t="s">
        <v>257</v>
      </c>
      <c r="C144" s="65" t="s">
        <v>53</v>
      </c>
      <c r="D144" s="5" t="s">
        <v>270</v>
      </c>
      <c r="E144" s="31">
        <v>0.21820000000000001</v>
      </c>
      <c r="F144" s="3">
        <v>4000870</v>
      </c>
    </row>
    <row r="145" spans="1:6" x14ac:dyDescent="0.25">
      <c r="A145" s="60"/>
      <c r="B145" s="63"/>
      <c r="C145" s="66"/>
      <c r="D145" s="5" t="s">
        <v>280</v>
      </c>
      <c r="E145" s="31">
        <v>0.12590000000000001</v>
      </c>
      <c r="F145" s="3">
        <v>4000871</v>
      </c>
    </row>
    <row r="146" spans="1:6" x14ac:dyDescent="0.25">
      <c r="A146" s="60"/>
      <c r="B146" s="63"/>
      <c r="C146" s="66"/>
      <c r="D146" s="5" t="s">
        <v>277</v>
      </c>
      <c r="E146" s="31">
        <v>0.25750000000000001</v>
      </c>
      <c r="F146" s="3">
        <v>4000873</v>
      </c>
    </row>
    <row r="147" spans="1:6" x14ac:dyDescent="0.25">
      <c r="A147" s="61"/>
      <c r="B147" s="64"/>
      <c r="C147" s="67"/>
      <c r="D147" s="5" t="s">
        <v>281</v>
      </c>
      <c r="E147" s="31">
        <v>0.13250000000000001</v>
      </c>
      <c r="F147" s="3">
        <v>4000872</v>
      </c>
    </row>
    <row r="148" spans="1:6" x14ac:dyDescent="0.25">
      <c r="A148" s="59" t="s">
        <v>258</v>
      </c>
      <c r="B148" s="62" t="s">
        <v>259</v>
      </c>
      <c r="C148" s="65" t="s">
        <v>8</v>
      </c>
      <c r="D148" s="5" t="s">
        <v>270</v>
      </c>
      <c r="E148" s="31">
        <v>1.8290999999999999</v>
      </c>
      <c r="F148" s="3">
        <v>4000874</v>
      </c>
    </row>
    <row r="149" spans="1:6" x14ac:dyDescent="0.25">
      <c r="A149" s="60"/>
      <c r="B149" s="63"/>
      <c r="C149" s="66"/>
      <c r="D149" s="5" t="s">
        <v>280</v>
      </c>
      <c r="E149" s="31">
        <v>1.0742</v>
      </c>
      <c r="F149" s="3">
        <v>4000875</v>
      </c>
    </row>
    <row r="150" spans="1:6" x14ac:dyDescent="0.25">
      <c r="A150" s="60"/>
      <c r="B150" s="63"/>
      <c r="C150" s="66"/>
      <c r="D150" s="5" t="s">
        <v>277</v>
      </c>
      <c r="E150" s="31">
        <v>2.8813</v>
      </c>
      <c r="F150" s="3">
        <v>4000876</v>
      </c>
    </row>
    <row r="151" spans="1:6" x14ac:dyDescent="0.25">
      <c r="A151" s="61"/>
      <c r="B151" s="64"/>
      <c r="C151" s="67"/>
      <c r="D151" s="5" t="s">
        <v>281</v>
      </c>
      <c r="E151" s="31">
        <v>1.573</v>
      </c>
      <c r="F151" s="3">
        <v>4000877</v>
      </c>
    </row>
    <row r="152" spans="1:6" x14ac:dyDescent="0.25">
      <c r="A152" s="59" t="s">
        <v>260</v>
      </c>
      <c r="B152" s="62" t="s">
        <v>261</v>
      </c>
      <c r="C152" s="65" t="s">
        <v>8</v>
      </c>
      <c r="D152" s="5" t="s">
        <v>270</v>
      </c>
      <c r="E152" s="31">
        <v>3.5057999999999998</v>
      </c>
      <c r="F152" s="3">
        <v>4000878</v>
      </c>
    </row>
    <row r="153" spans="1:6" x14ac:dyDescent="0.25">
      <c r="A153" s="60"/>
      <c r="B153" s="63"/>
      <c r="C153" s="66"/>
      <c r="D153" s="5" t="s">
        <v>280</v>
      </c>
      <c r="E153" s="31">
        <v>2.0589</v>
      </c>
      <c r="F153" s="3">
        <v>4000879</v>
      </c>
    </row>
    <row r="154" spans="1:6" x14ac:dyDescent="0.25">
      <c r="A154" s="60"/>
      <c r="B154" s="63"/>
      <c r="C154" s="66"/>
      <c r="D154" s="5" t="s">
        <v>277</v>
      </c>
      <c r="E154" s="31">
        <v>5.5225999999999997</v>
      </c>
      <c r="F154" s="3">
        <v>4000881</v>
      </c>
    </row>
    <row r="155" spans="1:6" x14ac:dyDescent="0.25">
      <c r="A155" s="61"/>
      <c r="B155" s="64"/>
      <c r="C155" s="67"/>
      <c r="D155" s="5" t="s">
        <v>281</v>
      </c>
      <c r="E155" s="31">
        <v>3.0150000000000001</v>
      </c>
      <c r="F155" s="3">
        <v>4000880</v>
      </c>
    </row>
    <row r="156" spans="1:6" x14ac:dyDescent="0.25">
      <c r="A156" s="59" t="s">
        <v>262</v>
      </c>
      <c r="B156" s="62" t="s">
        <v>263</v>
      </c>
      <c r="C156" s="65" t="s">
        <v>8</v>
      </c>
      <c r="D156" s="5" t="s">
        <v>270</v>
      </c>
      <c r="E156" s="31">
        <v>0.76539999999999997</v>
      </c>
      <c r="F156" s="3">
        <v>4000882</v>
      </c>
    </row>
    <row r="157" spans="1:6" x14ac:dyDescent="0.25">
      <c r="A157" s="60"/>
      <c r="B157" s="63"/>
      <c r="C157" s="66"/>
      <c r="D157" s="5" t="s">
        <v>280</v>
      </c>
      <c r="E157" s="31">
        <v>0.59530000000000005</v>
      </c>
      <c r="F157" s="3">
        <v>4000883</v>
      </c>
    </row>
    <row r="158" spans="1:6" x14ac:dyDescent="0.25">
      <c r="A158" s="60"/>
      <c r="B158" s="63"/>
      <c r="C158" s="66"/>
      <c r="D158" s="5" t="s">
        <v>277</v>
      </c>
      <c r="E158" s="31">
        <v>0.85050000000000003</v>
      </c>
      <c r="F158" s="3">
        <v>4000885</v>
      </c>
    </row>
    <row r="159" spans="1:6" x14ac:dyDescent="0.25">
      <c r="A159" s="61"/>
      <c r="B159" s="64"/>
      <c r="C159" s="67"/>
      <c r="D159" s="5" t="s">
        <v>281</v>
      </c>
      <c r="E159" s="31">
        <v>0.55279999999999996</v>
      </c>
      <c r="F159" s="3">
        <v>4000884</v>
      </c>
    </row>
    <row r="160" spans="1:6" ht="30" x14ac:dyDescent="0.25">
      <c r="A160" s="26" t="s">
        <v>320</v>
      </c>
      <c r="B160" s="34" t="s">
        <v>321</v>
      </c>
      <c r="C160" s="5" t="s">
        <v>8</v>
      </c>
      <c r="D160" s="5" t="s">
        <v>9</v>
      </c>
      <c r="E160" s="31">
        <v>6.0937999999999999</v>
      </c>
      <c r="F160" s="3">
        <v>4001390</v>
      </c>
    </row>
    <row r="161" spans="1:6" ht="30" x14ac:dyDescent="0.25">
      <c r="A161" s="26" t="s">
        <v>320</v>
      </c>
      <c r="B161" s="34" t="s">
        <v>322</v>
      </c>
      <c r="C161" s="5" t="s">
        <v>8</v>
      </c>
      <c r="D161" s="5" t="s">
        <v>9</v>
      </c>
      <c r="E161" s="31">
        <v>8.0437999999999992</v>
      </c>
      <c r="F161" s="3">
        <v>4001380</v>
      </c>
    </row>
    <row r="162" spans="1:6" ht="30" x14ac:dyDescent="0.25">
      <c r="A162" s="26" t="s">
        <v>320</v>
      </c>
      <c r="B162" s="34" t="s">
        <v>323</v>
      </c>
      <c r="C162" s="5" t="s">
        <v>8</v>
      </c>
      <c r="D162" s="5" t="s">
        <v>9</v>
      </c>
      <c r="E162" s="31">
        <v>7.0688000000000004</v>
      </c>
      <c r="F162" s="3">
        <v>4001381</v>
      </c>
    </row>
    <row r="163" spans="1:6" ht="30" x14ac:dyDescent="0.25">
      <c r="A163" s="26" t="s">
        <v>320</v>
      </c>
      <c r="B163" s="34" t="s">
        <v>324</v>
      </c>
      <c r="C163" s="5" t="s">
        <v>8</v>
      </c>
      <c r="D163" s="5" t="s">
        <v>9</v>
      </c>
      <c r="E163" s="31">
        <v>7.7390999999999996</v>
      </c>
      <c r="F163" s="3">
        <v>4001382</v>
      </c>
    </row>
    <row r="164" spans="1:6" ht="30" x14ac:dyDescent="0.25">
      <c r="A164" s="26" t="s">
        <v>320</v>
      </c>
      <c r="B164" s="34" t="s">
        <v>325</v>
      </c>
      <c r="C164" s="5" t="s">
        <v>8</v>
      </c>
      <c r="D164" s="5" t="s">
        <v>9</v>
      </c>
      <c r="E164" s="31">
        <v>10.2156</v>
      </c>
      <c r="F164" s="3">
        <v>4001383</v>
      </c>
    </row>
    <row r="165" spans="1:6" ht="30" x14ac:dyDescent="0.25">
      <c r="A165" s="26" t="s">
        <v>320</v>
      </c>
      <c r="B165" s="34" t="s">
        <v>326</v>
      </c>
      <c r="C165" s="5" t="s">
        <v>8</v>
      </c>
      <c r="D165" s="5" t="s">
        <v>9</v>
      </c>
      <c r="E165" s="31">
        <v>8.9773999999999994</v>
      </c>
      <c r="F165" s="3">
        <v>4001384</v>
      </c>
    </row>
    <row r="166" spans="1:6" ht="30" x14ac:dyDescent="0.25">
      <c r="A166" s="26" t="s">
        <v>320</v>
      </c>
      <c r="B166" s="34" t="s">
        <v>327</v>
      </c>
      <c r="C166" s="5" t="s">
        <v>8</v>
      </c>
      <c r="D166" s="5" t="s">
        <v>9</v>
      </c>
      <c r="E166" s="31">
        <v>5.2458</v>
      </c>
      <c r="F166" s="3">
        <v>4001400</v>
      </c>
    </row>
    <row r="167" spans="1:6" x14ac:dyDescent="0.25">
      <c r="A167" s="68"/>
      <c r="B167" s="34" t="s">
        <v>328</v>
      </c>
      <c r="C167" s="5" t="s">
        <v>247</v>
      </c>
      <c r="D167" s="5" t="s">
        <v>9</v>
      </c>
      <c r="E167" s="31">
        <v>0.33479999999999999</v>
      </c>
      <c r="F167" s="3">
        <v>4000728</v>
      </c>
    </row>
    <row r="168" spans="1:6" x14ac:dyDescent="0.25">
      <c r="A168" s="69"/>
      <c r="B168" s="34" t="s">
        <v>329</v>
      </c>
      <c r="C168" s="5" t="s">
        <v>247</v>
      </c>
      <c r="D168" s="5" t="s">
        <v>9</v>
      </c>
      <c r="E168" s="31">
        <v>0.56920000000000004</v>
      </c>
      <c r="F168" s="3">
        <v>4000729</v>
      </c>
    </row>
    <row r="169" spans="1:6" x14ac:dyDescent="0.25">
      <c r="A169" s="69"/>
      <c r="B169" s="34" t="s">
        <v>330</v>
      </c>
      <c r="C169" s="5" t="s">
        <v>247</v>
      </c>
      <c r="D169" s="5" t="s">
        <v>9</v>
      </c>
      <c r="E169" s="31">
        <v>0.42109999999999997</v>
      </c>
      <c r="F169" s="3">
        <v>4000730</v>
      </c>
    </row>
    <row r="170" spans="1:6" x14ac:dyDescent="0.25">
      <c r="A170" s="69"/>
      <c r="B170" s="34" t="s">
        <v>331</v>
      </c>
      <c r="C170" s="5" t="s">
        <v>247</v>
      </c>
      <c r="D170" s="5" t="s">
        <v>9</v>
      </c>
      <c r="E170" s="31">
        <v>0.32040000000000002</v>
      </c>
      <c r="F170" s="3">
        <v>4000731</v>
      </c>
    </row>
    <row r="171" spans="1:6" x14ac:dyDescent="0.25">
      <c r="A171" s="69"/>
      <c r="B171" s="34" t="s">
        <v>332</v>
      </c>
      <c r="C171" s="5" t="s">
        <v>247</v>
      </c>
      <c r="D171" s="5" t="s">
        <v>9</v>
      </c>
      <c r="E171" s="31">
        <v>0.2049</v>
      </c>
      <c r="F171" s="3">
        <v>4000732</v>
      </c>
    </row>
    <row r="172" spans="1:6" ht="30" x14ac:dyDescent="0.25">
      <c r="A172" s="69"/>
      <c r="B172" s="35" t="s">
        <v>333</v>
      </c>
      <c r="C172" s="5" t="s">
        <v>247</v>
      </c>
      <c r="D172" s="5" t="s">
        <v>9</v>
      </c>
      <c r="E172" s="31">
        <v>1.133</v>
      </c>
      <c r="F172" s="3">
        <v>4000487</v>
      </c>
    </row>
    <row r="173" spans="1:6" x14ac:dyDescent="0.25">
      <c r="A173" s="69"/>
      <c r="B173" s="34" t="s">
        <v>334</v>
      </c>
      <c r="C173" s="5" t="s">
        <v>247</v>
      </c>
      <c r="D173" s="5" t="s">
        <v>9</v>
      </c>
      <c r="E173" s="31">
        <v>1.133</v>
      </c>
      <c r="F173" s="3">
        <v>4000488</v>
      </c>
    </row>
  </sheetData>
  <mergeCells count="72">
    <mergeCell ref="A167:A173"/>
    <mergeCell ref="A152:A155"/>
    <mergeCell ref="B152:B155"/>
    <mergeCell ref="C152:C155"/>
    <mergeCell ref="A156:A159"/>
    <mergeCell ref="B156:B159"/>
    <mergeCell ref="C156:C159"/>
    <mergeCell ref="A148:A151"/>
    <mergeCell ref="B148:B151"/>
    <mergeCell ref="C148:C151"/>
    <mergeCell ref="A134:A136"/>
    <mergeCell ref="B134:B136"/>
    <mergeCell ref="C134:C136"/>
    <mergeCell ref="A137:A139"/>
    <mergeCell ref="B137:B139"/>
    <mergeCell ref="C137:C139"/>
    <mergeCell ref="A141:G141"/>
    <mergeCell ref="A143:G143"/>
    <mergeCell ref="A144:A147"/>
    <mergeCell ref="B144:B147"/>
    <mergeCell ref="C144:C147"/>
    <mergeCell ref="A108:G108"/>
    <mergeCell ref="A124:A126"/>
    <mergeCell ref="B124:B126"/>
    <mergeCell ref="C124:C126"/>
    <mergeCell ref="A127:A128"/>
    <mergeCell ref="B127:B128"/>
    <mergeCell ref="C127:C128"/>
    <mergeCell ref="A100:A103"/>
    <mergeCell ref="B100:B103"/>
    <mergeCell ref="C100:C103"/>
    <mergeCell ref="A73:A76"/>
    <mergeCell ref="B73:B76"/>
    <mergeCell ref="C73:C76"/>
    <mergeCell ref="A77:A80"/>
    <mergeCell ref="B77:B80"/>
    <mergeCell ref="C77:C80"/>
    <mergeCell ref="A82:G82"/>
    <mergeCell ref="A83:A86"/>
    <mergeCell ref="B83:B86"/>
    <mergeCell ref="C83:C86"/>
    <mergeCell ref="A96:G96"/>
    <mergeCell ref="A61:G61"/>
    <mergeCell ref="A64:A66"/>
    <mergeCell ref="B64:B66"/>
    <mergeCell ref="C64:C66"/>
    <mergeCell ref="A69:A72"/>
    <mergeCell ref="B69:B72"/>
    <mergeCell ref="C69:C72"/>
    <mergeCell ref="A58:A60"/>
    <mergeCell ref="B58:B60"/>
    <mergeCell ref="C58:C60"/>
    <mergeCell ref="A24:A26"/>
    <mergeCell ref="B24:B26"/>
    <mergeCell ref="A33:A35"/>
    <mergeCell ref="B33:B35"/>
    <mergeCell ref="A38:G38"/>
    <mergeCell ref="A39:A42"/>
    <mergeCell ref="B39:B42"/>
    <mergeCell ref="C39:C42"/>
    <mergeCell ref="A43:G43"/>
    <mergeCell ref="A49:G49"/>
    <mergeCell ref="A51:G51"/>
    <mergeCell ref="A53:G53"/>
    <mergeCell ref="A57:G57"/>
    <mergeCell ref="A2:G2"/>
    <mergeCell ref="A8:D8"/>
    <mergeCell ref="A13:G13"/>
    <mergeCell ref="A17:G17"/>
    <mergeCell ref="A18:A21"/>
    <mergeCell ref="B18:B21"/>
    <mergeCell ref="C18:C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Tab_Serviços</vt:lpstr>
      <vt:lpstr>Tab_Serviços Emergenciais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Busanelo Foletto</dc:creator>
  <cp:lastModifiedBy>Lucas Busanelo Foletto</cp:lastModifiedBy>
  <dcterms:created xsi:type="dcterms:W3CDTF">2025-10-29T20:35:43Z</dcterms:created>
  <dcterms:modified xsi:type="dcterms:W3CDTF">2026-04-22T12:29:23Z</dcterms:modified>
</cp:coreProperties>
</file>